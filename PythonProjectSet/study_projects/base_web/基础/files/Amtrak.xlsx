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SProjects\PycharmProjects\studyProject\wupeiqiStudyBilibili\基础\files\"/>
    </mc:Choice>
  </mc:AlternateContent>
  <xr:revisionPtr revIDLastSave="0" documentId="13_ncr:1_{296A452D-C6DF-4C51-8321-AB1F18F429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Data" sheetId="3" r:id="rId1"/>
    <sheet name="StatProForecast1" sheetId="2" r:id="rId2"/>
    <sheet name="Data" sheetId="1" r:id="rId3"/>
    <sheet name="test" sheetId="4" r:id="rId4"/>
  </sheets>
  <externalReferences>
    <externalReference r:id="rId5"/>
  </externalReferences>
  <definedNames>
    <definedName name="_Obs1" localSheetId="1">StatProForecast1!$F$14:$F$160</definedName>
    <definedName name="BuildDate" hidden="1">2152</definedName>
    <definedName name="BuildNo" hidden="1">43</definedName>
    <definedName name="Data" localSheetId="2">Data!$A$2:$B$160</definedName>
    <definedName name="Data">#REF!</definedName>
    <definedName name="Date" localSheetId="1">StatProForecast1!$E$1:$E$160</definedName>
    <definedName name="DateAll" localSheetId="1">StatProForecast1!$E$1:$E$160</definedName>
    <definedName name="DeseasError" localSheetId="1">StatProForecast1!$J$1:$J$160</definedName>
    <definedName name="DeseasError1" localSheetId="1">StatProForecast1!$J$14:$J$160</definedName>
    <definedName name="DeseasFCast" localSheetId="1">StatProForecast1!$I$1:$I$160</definedName>
    <definedName name="DeseasObs" localSheetId="1">StatProForecast1!$H$1:$H$160</definedName>
    <definedName name="DeseasObs1" localSheetId="1">StatProForecast1!$H$14:$H$160</definedName>
    <definedName name="DeseasObsAll" localSheetId="1">StatProForecast1!$H$1:$H$160</definedName>
    <definedName name="Error" localSheetId="1">StatProForecast1!$L$1:$L$160</definedName>
    <definedName name="Error1" localSheetId="1">StatProForecast1!$L$14:$L$160</definedName>
    <definedName name="FCast" localSheetId="1">StatProForecast1!$K$1:$K$160</definedName>
    <definedName name="Month" localSheetId="2">Data!$A$1:$A$160</definedName>
    <definedName name="NumPassengers" localSheetId="2">Data!$B$1:$B$160</definedName>
    <definedName name="Obs" localSheetId="1">StatProForecast1!$F$1:$F$160</definedName>
    <definedName name="ObsAll" localSheetId="1">StatProForecast1!$F$1:$F$160</definedName>
    <definedName name="RMSE" localSheetId="1">StatProForecast1!$B$10</definedName>
    <definedName name="SmConsts" localSheetId="1">StatProForecast1!$B$5:$B$6</definedName>
    <definedName name="SummEstPeriod" localSheetId="1">StatProForecast1!$A$7</definedName>
    <definedName name="Test">#REF!</definedName>
    <definedName name="Vers" hidden="1">" 3.0.0.P"</definedName>
    <definedName name="VersionMajor" hidden="1">3</definedName>
    <definedName name="VersionMinor" hidden="1">0</definedName>
    <definedName name="VersionPatch" hidden="1">0</definedName>
    <definedName name="xlm_OP_DA">[1]Templates!#REF!</definedName>
    <definedName name="xlm_OP_HC">[1]Templates!#REF!</definedName>
    <definedName name="xlm_OP_KNNC">[1]Templates!#REF!</definedName>
    <definedName name="xlm_OP_KNNP">[1]Templates!#REF!</definedName>
    <definedName name="xlm_OP_LR">[1]Templates!#REF!</definedName>
    <definedName name="xlm_OP_MLR">[1]Templates!#REF!</definedName>
    <definedName name="xlm_OP_NB">[1]Templates!#REF!</definedName>
    <definedName name="xlm_OP_NNC">[1]Templates!#REF!</definedName>
    <definedName name="xlm_OP_NNP">[1]Templates!#REF!</definedName>
    <definedName name="xlm_OP_PCA">[1]Templates!#REF!</definedName>
    <definedName name="xlm_PartitionHeaders1" hidden="1">#REF!</definedName>
    <definedName name="xlm_PartitionHeaders2" hidden="1">#REF!</definedName>
    <definedName name="xlm_PartitionHeaders3" hidden="1">#REF!</definedName>
    <definedName name="xlm_PartitionHeaders4" hidden="1">#REF!</definedName>
    <definedName name="xlm_PartitionTraining1" hidden="1">#REF!</definedName>
    <definedName name="xlm_PartitionTraining2" hidden="1">#REF!</definedName>
    <definedName name="xlm_PartitionTraining3" hidden="1">#REF!</definedName>
    <definedName name="xlm_PartitionTraining4" hidden="1">#REF!</definedName>
    <definedName name="xlm_PartitionValidation1" hidden="1">#REF!</definedName>
    <definedName name="xlm_PartitionValidation2" hidden="1">#REF!</definedName>
    <definedName name="xlm_PartitionValidation3" hidden="1">#REF!</definedName>
    <definedName name="xlm_PartitionValidation4" hidden="1">#REF!</definedName>
    <definedName name="xlm_PT_BT">[1]Templates!#REF!</definedName>
    <definedName name="xlm_PT_CHC">[1]Templates!#REF!</definedName>
    <definedName name="xlm_PT_CHL">[1]Templates!#REF!</definedName>
    <definedName name="xlm_PT_CHR">[1]Templates!#REF!</definedName>
    <definedName name="xlm_PT_CHRT">[1]Templates!#REF!</definedName>
    <definedName name="xlm_PT_MT">[1]Templates!#REF!</definedName>
    <definedName name="xlm_PT_RHC">[1]Templates!#REF!</definedName>
    <definedName name="xlm_PT_RHL">[1]Templates!#REF!</definedName>
    <definedName name="xlm_PT_RHR">[1]Templates!#REF!</definedName>
    <definedName name="xlm_PT_TVL">[1]Templates!#REF!</definedName>
    <definedName name="xlm_PT_TVR">[1]Templates!#REF!</definedName>
  </definedNames>
  <calcPr calcId="191029"/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F14" i="2"/>
  <c r="F2" i="2"/>
  <c r="H2" i="2"/>
  <c r="F3" i="2"/>
  <c r="H3" i="2" s="1"/>
  <c r="F4" i="2"/>
  <c r="H4" i="2" s="1"/>
  <c r="F5" i="2"/>
  <c r="H5" i="2"/>
  <c r="F6" i="2"/>
  <c r="H6" i="2"/>
  <c r="F7" i="2"/>
  <c r="H7" i="2" s="1"/>
  <c r="F8" i="2"/>
  <c r="H8" i="2"/>
  <c r="F9" i="2"/>
  <c r="H9" i="2" s="1"/>
  <c r="F10" i="2"/>
  <c r="H10" i="2"/>
  <c r="F11" i="2"/>
  <c r="H11" i="2" s="1"/>
  <c r="F12" i="2"/>
  <c r="H12" i="2"/>
  <c r="F13" i="2"/>
  <c r="H13" i="2"/>
  <c r="F15" i="2"/>
  <c r="F16" i="2"/>
  <c r="H16" i="2" s="1"/>
  <c r="F17" i="2"/>
  <c r="H17" i="2"/>
  <c r="F18" i="2"/>
  <c r="H18" i="2"/>
  <c r="I27" i="2" s="1"/>
  <c r="K27" i="2" s="1"/>
  <c r="F19" i="2"/>
  <c r="H19" i="2"/>
  <c r="F20" i="2"/>
  <c r="F21" i="2"/>
  <c r="H21" i="2" s="1"/>
  <c r="F22" i="2"/>
  <c r="H22" i="2"/>
  <c r="F23" i="2"/>
  <c r="H23" i="2" s="1"/>
  <c r="F24" i="2"/>
  <c r="H24" i="2"/>
  <c r="F25" i="2"/>
  <c r="H25" i="2" s="1"/>
  <c r="F26" i="2"/>
  <c r="H26" i="2"/>
  <c r="F27" i="2"/>
  <c r="F28" i="2"/>
  <c r="H28" i="2"/>
  <c r="F29" i="2"/>
  <c r="H29" i="2" s="1"/>
  <c r="F30" i="2"/>
  <c r="H30" i="2"/>
  <c r="F31" i="2"/>
  <c r="H31" i="2" s="1"/>
  <c r="F32" i="2"/>
  <c r="H32" i="2" s="1"/>
  <c r="F33" i="2"/>
  <c r="F34" i="2"/>
  <c r="H34" i="2"/>
  <c r="F35" i="2"/>
  <c r="F36" i="2"/>
  <c r="H36" i="2" s="1"/>
  <c r="H35" i="2"/>
  <c r="F37" i="2"/>
  <c r="H37" i="2"/>
  <c r="F38" i="2"/>
  <c r="H38" i="2" s="1"/>
  <c r="F39" i="2"/>
  <c r="H39" i="2" s="1"/>
  <c r="F40" i="2"/>
  <c r="H40" i="2" s="1"/>
  <c r="F41" i="2"/>
  <c r="H41" i="2"/>
  <c r="F42" i="2"/>
  <c r="H42" i="2" s="1"/>
  <c r="F43" i="2"/>
  <c r="H43" i="2" s="1"/>
  <c r="F44" i="2"/>
  <c r="H44" i="2" s="1"/>
  <c r="F45" i="2"/>
  <c r="H45" i="2"/>
  <c r="F46" i="2"/>
  <c r="H46" i="2" s="1"/>
  <c r="F47" i="2"/>
  <c r="F48" i="2"/>
  <c r="H48" i="2"/>
  <c r="H47" i="2"/>
  <c r="F49" i="2"/>
  <c r="H49" i="2" s="1"/>
  <c r="F50" i="2"/>
  <c r="H50" i="2"/>
  <c r="F51" i="2"/>
  <c r="H51" i="2"/>
  <c r="F52" i="2"/>
  <c r="H52" i="2" s="1"/>
  <c r="F53" i="2"/>
  <c r="H53" i="2"/>
  <c r="F54" i="2"/>
  <c r="H54" i="2"/>
  <c r="F55" i="2"/>
  <c r="H55" i="2"/>
  <c r="F56" i="2"/>
  <c r="H56" i="2" s="1"/>
  <c r="F57" i="2"/>
  <c r="F58" i="2"/>
  <c r="H58" i="2" s="1"/>
  <c r="F59" i="2"/>
  <c r="H59" i="2"/>
  <c r="F60" i="2"/>
  <c r="F61" i="2"/>
  <c r="F62" i="2"/>
  <c r="H62" i="2"/>
  <c r="F63" i="2"/>
  <c r="H63" i="2"/>
  <c r="F64" i="2"/>
  <c r="F65" i="2"/>
  <c r="F66" i="2"/>
  <c r="H66" i="2"/>
  <c r="F67" i="2"/>
  <c r="H67" i="2"/>
  <c r="F68" i="2"/>
  <c r="H68" i="2" s="1"/>
  <c r="F69" i="2"/>
  <c r="H69" i="2" s="1"/>
  <c r="F70" i="2"/>
  <c r="H70" i="2"/>
  <c r="F71" i="2"/>
  <c r="H71" i="2"/>
  <c r="F72" i="2"/>
  <c r="F73" i="2"/>
  <c r="F74" i="2"/>
  <c r="H74" i="2"/>
  <c r="F75" i="2"/>
  <c r="H75" i="2"/>
  <c r="F76" i="2"/>
  <c r="F77" i="2"/>
  <c r="H77" i="2" s="1"/>
  <c r="F78" i="2"/>
  <c r="H78" i="2" s="1"/>
  <c r="F79" i="2"/>
  <c r="H79" i="2"/>
  <c r="F80" i="2"/>
  <c r="H80" i="2"/>
  <c r="F81" i="2"/>
  <c r="H81" i="2" s="1"/>
  <c r="F82" i="2"/>
  <c r="H82" i="2"/>
  <c r="F83" i="2"/>
  <c r="H83" i="2"/>
  <c r="F84" i="2"/>
  <c r="H84" i="2"/>
  <c r="F85" i="2"/>
  <c r="H85" i="2" s="1"/>
  <c r="F86" i="2"/>
  <c r="H86" i="2" s="1"/>
  <c r="F87" i="2"/>
  <c r="H87" i="2" s="1"/>
  <c r="F88" i="2"/>
  <c r="H88" i="2"/>
  <c r="F89" i="2"/>
  <c r="H89" i="2" s="1"/>
  <c r="F90" i="2"/>
  <c r="H90" i="2"/>
  <c r="F91" i="2"/>
  <c r="F92" i="2"/>
  <c r="F93" i="2"/>
  <c r="H93" i="2"/>
  <c r="F94" i="2"/>
  <c r="H94" i="2"/>
  <c r="F95" i="2"/>
  <c r="H95" i="2" s="1"/>
  <c r="F96" i="2"/>
  <c r="F97" i="2"/>
  <c r="H97" i="2"/>
  <c r="F98" i="2"/>
  <c r="F99" i="2"/>
  <c r="H99" i="2"/>
  <c r="H98" i="2"/>
  <c r="F100" i="2"/>
  <c r="F101" i="2"/>
  <c r="H101" i="2" s="1"/>
  <c r="F102" i="2"/>
  <c r="F103" i="2"/>
  <c r="H103" i="2" s="1"/>
  <c r="F104" i="2"/>
  <c r="H104" i="2"/>
  <c r="F105" i="2"/>
  <c r="H105" i="2" s="1"/>
  <c r="F106" i="2"/>
  <c r="H106" i="2"/>
  <c r="F107" i="2"/>
  <c r="H107" i="2"/>
  <c r="F108" i="2"/>
  <c r="H108" i="2" s="1"/>
  <c r="F109" i="2"/>
  <c r="F110" i="2"/>
  <c r="F111" i="2"/>
  <c r="H111" i="2"/>
  <c r="H110" i="2"/>
  <c r="F112" i="2"/>
  <c r="H112" i="2"/>
  <c r="F113" i="2"/>
  <c r="H113" i="2" s="1"/>
  <c r="F114" i="2"/>
  <c r="H114" i="2"/>
  <c r="F115" i="2"/>
  <c r="F116" i="2"/>
  <c r="F117" i="2"/>
  <c r="H117" i="2" s="1"/>
  <c r="F118" i="2"/>
  <c r="H118" i="2"/>
  <c r="F119" i="2"/>
  <c r="H119" i="2"/>
  <c r="F120" i="2"/>
  <c r="F121" i="2"/>
  <c r="H121" i="2"/>
  <c r="F122" i="2"/>
  <c r="H122" i="2" s="1"/>
  <c r="F123" i="2"/>
  <c r="H123" i="2" s="1"/>
  <c r="F124" i="2"/>
  <c r="H124" i="2" s="1"/>
  <c r="F125" i="2"/>
  <c r="H125" i="2"/>
  <c r="F126" i="2"/>
  <c r="H126" i="2" s="1"/>
  <c r="F127" i="2"/>
  <c r="H127" i="2" s="1"/>
  <c r="F128" i="2"/>
  <c r="H128" i="2" s="1"/>
  <c r="F129" i="2"/>
  <c r="H129" i="2" s="1"/>
  <c r="F130" i="2"/>
  <c r="F131" i="2"/>
  <c r="F132" i="2"/>
  <c r="H132" i="2"/>
  <c r="F133" i="2"/>
  <c r="H133" i="2" s="1"/>
  <c r="F134" i="2"/>
  <c r="F135" i="2"/>
  <c r="H135" i="2"/>
  <c r="F136" i="2"/>
  <c r="H136" i="2"/>
  <c r="F137" i="2"/>
  <c r="H137" i="2" s="1"/>
  <c r="F138" i="2"/>
  <c r="H138" i="2" s="1"/>
  <c r="F139" i="2"/>
  <c r="H139" i="2"/>
  <c r="F140" i="2"/>
  <c r="H140" i="2"/>
  <c r="F141" i="2"/>
  <c r="F142" i="2"/>
  <c r="H142" i="2" s="1"/>
  <c r="F143" i="2"/>
  <c r="H143" i="2"/>
  <c r="F144" i="2"/>
  <c r="F145" i="2"/>
  <c r="H145" i="2" s="1"/>
  <c r="H144" i="2"/>
  <c r="F146" i="2"/>
  <c r="F147" i="2"/>
  <c r="H147" i="2"/>
  <c r="F148" i="2"/>
  <c r="H148" i="2"/>
  <c r="F149" i="2"/>
  <c r="H149" i="2" s="1"/>
  <c r="F150" i="2"/>
  <c r="H150" i="2"/>
  <c r="F151" i="2"/>
  <c r="F152" i="2"/>
  <c r="F153" i="2"/>
  <c r="H153" i="2"/>
  <c r="H152" i="2"/>
  <c r="F154" i="2"/>
  <c r="H154" i="2"/>
  <c r="F155" i="2"/>
  <c r="H155" i="2"/>
  <c r="F156" i="2"/>
  <c r="H156" i="2" s="1"/>
  <c r="F157" i="2"/>
  <c r="F158" i="2"/>
  <c r="H158" i="2" s="1"/>
  <c r="F159" i="2"/>
  <c r="H159" i="2"/>
  <c r="F160" i="2"/>
  <c r="H160" i="2" s="1"/>
  <c r="H102" i="2"/>
  <c r="H131" i="2"/>
  <c r="H120" i="2"/>
  <c r="I57" i="2"/>
  <c r="K57" i="2" s="1"/>
  <c r="H151" i="2"/>
  <c r="H20" i="2"/>
  <c r="H15" i="2"/>
  <c r="I156" i="2" l="1"/>
  <c r="I48" i="2"/>
  <c r="I52" i="2"/>
  <c r="K52" i="2" s="1"/>
  <c r="L52" i="2" s="1"/>
  <c r="I46" i="2"/>
  <c r="K46" i="2" s="1"/>
  <c r="L46" i="2" s="1"/>
  <c r="I51" i="2"/>
  <c r="K51" i="2" s="1"/>
  <c r="L51" i="2" s="1"/>
  <c r="I114" i="2"/>
  <c r="I56" i="2"/>
  <c r="K56" i="2" s="1"/>
  <c r="L56" i="2" s="1"/>
  <c r="I55" i="2"/>
  <c r="K55" i="2" s="1"/>
  <c r="L55" i="2" s="1"/>
  <c r="I132" i="2"/>
  <c r="I129" i="2"/>
  <c r="K129" i="2" s="1"/>
  <c r="L129" i="2" s="1"/>
  <c r="I141" i="2"/>
  <c r="K141" i="2" s="1"/>
  <c r="J117" i="2"/>
  <c r="I91" i="2"/>
  <c r="K91" i="2" s="1"/>
  <c r="I138" i="2"/>
  <c r="K138" i="2" s="1"/>
  <c r="L138" i="2" s="1"/>
  <c r="H115" i="2"/>
  <c r="I117" i="2"/>
  <c r="K117" i="2" s="1"/>
  <c r="L117" i="2" s="1"/>
  <c r="I105" i="2"/>
  <c r="K105" i="2" s="1"/>
  <c r="L105" i="2" s="1"/>
  <c r="L57" i="2"/>
  <c r="H57" i="2"/>
  <c r="J52" i="2"/>
  <c r="H14" i="2"/>
  <c r="I17" i="2" s="1"/>
  <c r="I90" i="2"/>
  <c r="K90" i="2" s="1"/>
  <c r="L90" i="2" s="1"/>
  <c r="I89" i="2"/>
  <c r="K89" i="2" s="1"/>
  <c r="L89" i="2" s="1"/>
  <c r="I94" i="2"/>
  <c r="H73" i="2"/>
  <c r="J56" i="2"/>
  <c r="I53" i="2"/>
  <c r="K53" i="2" s="1"/>
  <c r="L53" i="2" s="1"/>
  <c r="I47" i="2"/>
  <c r="K47" i="2" s="1"/>
  <c r="L47" i="2" s="1"/>
  <c r="H27" i="2"/>
  <c r="L27" i="2"/>
  <c r="I33" i="2"/>
  <c r="K33" i="2" s="1"/>
  <c r="L33" i="2" s="1"/>
  <c r="I148" i="2"/>
  <c r="I130" i="2"/>
  <c r="K130" i="2" s="1"/>
  <c r="I131" i="2"/>
  <c r="H109" i="2"/>
  <c r="L109" i="2"/>
  <c r="H72" i="2"/>
  <c r="J46" i="2"/>
  <c r="I58" i="2"/>
  <c r="J129" i="2"/>
  <c r="H146" i="2"/>
  <c r="H141" i="2"/>
  <c r="I150" i="2" s="1"/>
  <c r="L141" i="2"/>
  <c r="H130" i="2"/>
  <c r="I136" i="2" s="1"/>
  <c r="L130" i="2"/>
  <c r="H61" i="2"/>
  <c r="I152" i="2"/>
  <c r="K152" i="2" s="1"/>
  <c r="L152" i="2" s="1"/>
  <c r="H92" i="2"/>
  <c r="H76" i="2"/>
  <c r="H60" i="2"/>
  <c r="L60" i="2"/>
  <c r="I31" i="2"/>
  <c r="K31" i="2" s="1"/>
  <c r="L31" i="2" s="1"/>
  <c r="I16" i="2"/>
  <c r="K16" i="2" s="1"/>
  <c r="L16" i="2" s="1"/>
  <c r="H91" i="2"/>
  <c r="I95" i="2" s="1"/>
  <c r="L91" i="2"/>
  <c r="I98" i="2"/>
  <c r="H65" i="2"/>
  <c r="J59" i="2"/>
  <c r="H134" i="2"/>
  <c r="I113" i="2"/>
  <c r="K113" i="2" s="1"/>
  <c r="L113" i="2" s="1"/>
  <c r="J90" i="2"/>
  <c r="J53" i="2"/>
  <c r="I59" i="2"/>
  <c r="K59" i="2" s="1"/>
  <c r="L59" i="2" s="1"/>
  <c r="J47" i="2"/>
  <c r="I50" i="2"/>
  <c r="J29" i="2"/>
  <c r="I29" i="2"/>
  <c r="K29" i="2" s="1"/>
  <c r="L29" i="2" s="1"/>
  <c r="I14" i="2"/>
  <c r="K14" i="2" s="1"/>
  <c r="L14" i="2" s="1"/>
  <c r="I122" i="2"/>
  <c r="K122" i="2" s="1"/>
  <c r="L122" i="2" s="1"/>
  <c r="H96" i="2"/>
  <c r="I106" i="2" s="1"/>
  <c r="I92" i="2"/>
  <c r="K92" i="2" s="1"/>
  <c r="L92" i="2" s="1"/>
  <c r="H64" i="2"/>
  <c r="I32" i="2"/>
  <c r="I151" i="2"/>
  <c r="I54" i="2"/>
  <c r="H157" i="2"/>
  <c r="I159" i="2"/>
  <c r="I160" i="2"/>
  <c r="K160" i="2" s="1"/>
  <c r="L160" i="2" s="1"/>
  <c r="I145" i="2"/>
  <c r="K145" i="2" s="1"/>
  <c r="L145" i="2" s="1"/>
  <c r="H116" i="2"/>
  <c r="I123" i="2" s="1"/>
  <c r="H100" i="2"/>
  <c r="I111" i="2" s="1"/>
  <c r="I107" i="2"/>
  <c r="K107" i="2" s="1"/>
  <c r="L107" i="2" s="1"/>
  <c r="I60" i="2"/>
  <c r="K60" i="2" s="1"/>
  <c r="I49" i="2"/>
  <c r="H33" i="2"/>
  <c r="I43" i="2" s="1"/>
  <c r="I109" i="2"/>
  <c r="K109" i="2" s="1"/>
  <c r="K111" i="2" l="1"/>
  <c r="L111" i="2" s="1"/>
  <c r="J111" i="2"/>
  <c r="J106" i="2"/>
  <c r="K106" i="2"/>
  <c r="L106" i="2" s="1"/>
  <c r="K123" i="2"/>
  <c r="L123" i="2" s="1"/>
  <c r="J123" i="2"/>
  <c r="K17" i="2"/>
  <c r="L17" i="2" s="1"/>
  <c r="J17" i="2"/>
  <c r="K95" i="2"/>
  <c r="L95" i="2" s="1"/>
  <c r="J95" i="2"/>
  <c r="K43" i="2"/>
  <c r="L43" i="2" s="1"/>
  <c r="J43" i="2"/>
  <c r="K136" i="2"/>
  <c r="L136" i="2" s="1"/>
  <c r="J136" i="2"/>
  <c r="K150" i="2"/>
  <c r="L150" i="2" s="1"/>
  <c r="J150" i="2"/>
  <c r="I76" i="2"/>
  <c r="K76" i="2" s="1"/>
  <c r="L76" i="2" s="1"/>
  <c r="I74" i="2"/>
  <c r="I88" i="2"/>
  <c r="K32" i="2"/>
  <c r="L32" i="2" s="1"/>
  <c r="J32" i="2"/>
  <c r="I104" i="2"/>
  <c r="J92" i="2"/>
  <c r="I70" i="2"/>
  <c r="I146" i="2"/>
  <c r="K146" i="2" s="1"/>
  <c r="L146" i="2" s="1"/>
  <c r="I143" i="2"/>
  <c r="I87" i="2"/>
  <c r="I135" i="2"/>
  <c r="J16" i="2"/>
  <c r="I66" i="2"/>
  <c r="K131" i="2"/>
  <c r="L131" i="2" s="1"/>
  <c r="J131" i="2"/>
  <c r="I79" i="2"/>
  <c r="I44" i="2"/>
  <c r="I85" i="2"/>
  <c r="J114" i="2"/>
  <c r="K114" i="2"/>
  <c r="L114" i="2" s="1"/>
  <c r="K94" i="2"/>
  <c r="L94" i="2" s="1"/>
  <c r="J94" i="2"/>
  <c r="K132" i="2"/>
  <c r="L132" i="2" s="1"/>
  <c r="J132" i="2"/>
  <c r="K159" i="2"/>
  <c r="L159" i="2" s="1"/>
  <c r="J159" i="2"/>
  <c r="I101" i="2"/>
  <c r="I23" i="2"/>
  <c r="I19" i="2"/>
  <c r="I158" i="2"/>
  <c r="J146" i="2"/>
  <c r="J31" i="2"/>
  <c r="I137" i="2"/>
  <c r="J115" i="2"/>
  <c r="I127" i="2"/>
  <c r="I126" i="2"/>
  <c r="I99" i="2"/>
  <c r="I134" i="2"/>
  <c r="K134" i="2" s="1"/>
  <c r="L134" i="2" s="1"/>
  <c r="I96" i="2"/>
  <c r="K96" i="2" s="1"/>
  <c r="L96" i="2" s="1"/>
  <c r="K48" i="2"/>
  <c r="L48" i="2" s="1"/>
  <c r="J48" i="2"/>
  <c r="K151" i="2"/>
  <c r="L151" i="2" s="1"/>
  <c r="J151" i="2"/>
  <c r="K148" i="2"/>
  <c r="L148" i="2" s="1"/>
  <c r="J148" i="2"/>
  <c r="K54" i="2"/>
  <c r="L54" i="2" s="1"/>
  <c r="J54" i="2"/>
  <c r="I15" i="2"/>
  <c r="I75" i="2"/>
  <c r="I128" i="2"/>
  <c r="J116" i="2"/>
  <c r="J122" i="2"/>
  <c r="I36" i="2"/>
  <c r="I86" i="2"/>
  <c r="J60" i="2"/>
  <c r="I72" i="2"/>
  <c r="K72" i="2" s="1"/>
  <c r="L72" i="2" s="1"/>
  <c r="I125" i="2"/>
  <c r="I63" i="2"/>
  <c r="J72" i="2"/>
  <c r="I84" i="2"/>
  <c r="I80" i="2"/>
  <c r="I149" i="2"/>
  <c r="J138" i="2"/>
  <c r="I69" i="2"/>
  <c r="I64" i="2"/>
  <c r="K64" i="2" s="1"/>
  <c r="L64" i="2" s="1"/>
  <c r="I61" i="2"/>
  <c r="K61" i="2" s="1"/>
  <c r="L61" i="2" s="1"/>
  <c r="J57" i="2"/>
  <c r="I65" i="2"/>
  <c r="K65" i="2" s="1"/>
  <c r="L65" i="2" s="1"/>
  <c r="I67" i="2"/>
  <c r="I62" i="2"/>
  <c r="I68" i="2"/>
  <c r="I144" i="2"/>
  <c r="J107" i="2"/>
  <c r="K98" i="2"/>
  <c r="L98" i="2" s="1"/>
  <c r="J98" i="2"/>
  <c r="I45" i="2"/>
  <c r="J33" i="2"/>
  <c r="I40" i="2"/>
  <c r="I81" i="2"/>
  <c r="I139" i="2"/>
  <c r="I102" i="2"/>
  <c r="I93" i="2"/>
  <c r="J113" i="2"/>
  <c r="I35" i="2"/>
  <c r="I147" i="2"/>
  <c r="J51" i="2"/>
  <c r="I41" i="2"/>
  <c r="I37" i="2"/>
  <c r="I124" i="2"/>
  <c r="I155" i="2"/>
  <c r="K156" i="2"/>
  <c r="L156" i="2" s="1"/>
  <c r="J156" i="2"/>
  <c r="J49" i="2"/>
  <c r="K49" i="2"/>
  <c r="L49" i="2" s="1"/>
  <c r="I71" i="2"/>
  <c r="I25" i="2"/>
  <c r="I73" i="2"/>
  <c r="K73" i="2" s="1"/>
  <c r="L73" i="2" s="1"/>
  <c r="J61" i="2"/>
  <c r="J130" i="2"/>
  <c r="I142" i="2"/>
  <c r="J89" i="2"/>
  <c r="K58" i="2"/>
  <c r="L58" i="2" s="1"/>
  <c r="J58" i="2"/>
  <c r="I154" i="2"/>
  <c r="I22" i="2"/>
  <c r="I78" i="2"/>
  <c r="I100" i="2"/>
  <c r="K100" i="2" s="1"/>
  <c r="L100" i="2" s="1"/>
  <c r="I18" i="2"/>
  <c r="I140" i="2"/>
  <c r="I133" i="2"/>
  <c r="I157" i="2"/>
  <c r="K157" i="2" s="1"/>
  <c r="L157" i="2" s="1"/>
  <c r="J14" i="2"/>
  <c r="I24" i="2"/>
  <c r="I26" i="2"/>
  <c r="I82" i="2"/>
  <c r="I20" i="2"/>
  <c r="J145" i="2"/>
  <c r="I112" i="2"/>
  <c r="J152" i="2"/>
  <c r="I108" i="2"/>
  <c r="J96" i="2"/>
  <c r="J50" i="2"/>
  <c r="K50" i="2"/>
  <c r="L50" i="2" s="1"/>
  <c r="I77" i="2"/>
  <c r="J65" i="2"/>
  <c r="J91" i="2"/>
  <c r="I103" i="2"/>
  <c r="I42" i="2"/>
  <c r="I118" i="2"/>
  <c r="I83" i="2"/>
  <c r="J141" i="2"/>
  <c r="I153" i="2"/>
  <c r="I110" i="2"/>
  <c r="J55" i="2"/>
  <c r="J109" i="2"/>
  <c r="I121" i="2"/>
  <c r="I119" i="2"/>
  <c r="I120" i="2"/>
  <c r="I116" i="2"/>
  <c r="K116" i="2" s="1"/>
  <c r="L116" i="2" s="1"/>
  <c r="I97" i="2"/>
  <c r="I39" i="2"/>
  <c r="J27" i="2"/>
  <c r="I30" i="2"/>
  <c r="I38" i="2"/>
  <c r="I28" i="2"/>
  <c r="I34" i="2"/>
  <c r="J105" i="2"/>
  <c r="I21" i="2"/>
  <c r="I115" i="2"/>
  <c r="K115" i="2" s="1"/>
  <c r="L115" i="2" s="1"/>
  <c r="J160" i="2"/>
  <c r="K83" i="2" l="1"/>
  <c r="L83" i="2" s="1"/>
  <c r="J83" i="2"/>
  <c r="K23" i="2"/>
  <c r="L23" i="2" s="1"/>
  <c r="J23" i="2"/>
  <c r="J119" i="2"/>
  <c r="K119" i="2"/>
  <c r="L119" i="2" s="1"/>
  <c r="J121" i="2"/>
  <c r="K121" i="2"/>
  <c r="L121" i="2" s="1"/>
  <c r="K24" i="2"/>
  <c r="L24" i="2" s="1"/>
  <c r="J24" i="2"/>
  <c r="K22" i="2"/>
  <c r="L22" i="2" s="1"/>
  <c r="J22" i="2"/>
  <c r="K124" i="2"/>
  <c r="L124" i="2" s="1"/>
  <c r="J124" i="2"/>
  <c r="J102" i="2"/>
  <c r="K102" i="2"/>
  <c r="L102" i="2" s="1"/>
  <c r="K125" i="2"/>
  <c r="L125" i="2" s="1"/>
  <c r="J125" i="2"/>
  <c r="K135" i="2"/>
  <c r="L135" i="2" s="1"/>
  <c r="J135" i="2"/>
  <c r="B9" i="2" a="1"/>
  <c r="B9" i="2" s="1"/>
  <c r="J139" i="2"/>
  <c r="K139" i="2"/>
  <c r="L139" i="2" s="1"/>
  <c r="J69" i="2"/>
  <c r="K69" i="2"/>
  <c r="L69" i="2" s="1"/>
  <c r="K85" i="2"/>
  <c r="L85" i="2" s="1"/>
  <c r="J85" i="2"/>
  <c r="K41" i="2"/>
  <c r="L41" i="2" s="1"/>
  <c r="J41" i="2"/>
  <c r="K143" i="2"/>
  <c r="L143" i="2" s="1"/>
  <c r="J143" i="2"/>
  <c r="K112" i="2"/>
  <c r="L112" i="2" s="1"/>
  <c r="J112" i="2"/>
  <c r="K40" i="2"/>
  <c r="L40" i="2" s="1"/>
  <c r="J40" i="2"/>
  <c r="K62" i="2"/>
  <c r="L62" i="2" s="1"/>
  <c r="J62" i="2"/>
  <c r="K149" i="2"/>
  <c r="L149" i="2" s="1"/>
  <c r="J149" i="2"/>
  <c r="K86" i="2"/>
  <c r="L86" i="2" s="1"/>
  <c r="J86" i="2"/>
  <c r="J79" i="2"/>
  <c r="K79" i="2"/>
  <c r="L79" i="2" s="1"/>
  <c r="J76" i="2"/>
  <c r="K126" i="2"/>
  <c r="L126" i="2" s="1"/>
  <c r="J126" i="2"/>
  <c r="J28" i="2"/>
  <c r="K28" i="2"/>
  <c r="L28" i="2" s="1"/>
  <c r="K78" i="2"/>
  <c r="L78" i="2" s="1"/>
  <c r="J78" i="2"/>
  <c r="J93" i="2"/>
  <c r="K93" i="2"/>
  <c r="L93" i="2" s="1"/>
  <c r="K38" i="2"/>
  <c r="L38" i="2" s="1"/>
  <c r="J38" i="2"/>
  <c r="K75" i="2"/>
  <c r="L75" i="2" s="1"/>
  <c r="J75" i="2"/>
  <c r="J73" i="2"/>
  <c r="K103" i="2"/>
  <c r="L103" i="2" s="1"/>
  <c r="J103" i="2"/>
  <c r="K25" i="2"/>
  <c r="L25" i="2" s="1"/>
  <c r="J25" i="2"/>
  <c r="K137" i="2"/>
  <c r="L137" i="2" s="1"/>
  <c r="J137" i="2"/>
  <c r="K87" i="2"/>
  <c r="L87" i="2" s="1"/>
  <c r="J87" i="2"/>
  <c r="K71" i="2"/>
  <c r="L71" i="2" s="1"/>
  <c r="J71" i="2"/>
  <c r="K68" i="2"/>
  <c r="L68" i="2" s="1"/>
  <c r="J68" i="2"/>
  <c r="K44" i="2"/>
  <c r="L44" i="2" s="1"/>
  <c r="J44" i="2"/>
  <c r="K39" i="2"/>
  <c r="L39" i="2" s="1"/>
  <c r="J39" i="2"/>
  <c r="K21" i="2"/>
  <c r="L21" i="2" s="1"/>
  <c r="J21" i="2"/>
  <c r="K153" i="2"/>
  <c r="L153" i="2" s="1"/>
  <c r="J153" i="2"/>
  <c r="J147" i="2"/>
  <c r="K147" i="2"/>
  <c r="L147" i="2" s="1"/>
  <c r="K67" i="2"/>
  <c r="L67" i="2" s="1"/>
  <c r="J67" i="2"/>
  <c r="K80" i="2"/>
  <c r="L80" i="2" s="1"/>
  <c r="J80" i="2"/>
  <c r="K36" i="2"/>
  <c r="L36" i="2" s="1"/>
  <c r="J36" i="2"/>
  <c r="J157" i="2"/>
  <c r="K158" i="2"/>
  <c r="L158" i="2" s="1"/>
  <c r="J158" i="2"/>
  <c r="J134" i="2"/>
  <c r="J74" i="2"/>
  <c r="K74" i="2"/>
  <c r="L74" i="2" s="1"/>
  <c r="K118" i="2"/>
  <c r="L118" i="2" s="1"/>
  <c r="J118" i="2"/>
  <c r="K155" i="2"/>
  <c r="L155" i="2" s="1"/>
  <c r="J155" i="2"/>
  <c r="K30" i="2"/>
  <c r="L30" i="2" s="1"/>
  <c r="J30" i="2"/>
  <c r="K154" i="2"/>
  <c r="L154" i="2" s="1"/>
  <c r="J154" i="2"/>
  <c r="K37" i="2"/>
  <c r="L37" i="2" s="1"/>
  <c r="J37" i="2"/>
  <c r="K144" i="2"/>
  <c r="L144" i="2" s="1"/>
  <c r="J144" i="2"/>
  <c r="J15" i="2"/>
  <c r="B11" i="2" s="1" a="1"/>
  <c r="B11" i="2" s="1"/>
  <c r="K15" i="2"/>
  <c r="L15" i="2" s="1"/>
  <c r="J100" i="2"/>
  <c r="J81" i="2"/>
  <c r="K81" i="2"/>
  <c r="L81" i="2" s="1"/>
  <c r="K88" i="2"/>
  <c r="L88" i="2" s="1"/>
  <c r="J88" i="2"/>
  <c r="K110" i="2"/>
  <c r="L110" i="2" s="1"/>
  <c r="J110" i="2"/>
  <c r="K133" i="2"/>
  <c r="L133" i="2" s="1"/>
  <c r="J133" i="2"/>
  <c r="K97" i="2"/>
  <c r="L97" i="2" s="1"/>
  <c r="J97" i="2"/>
  <c r="K77" i="2"/>
  <c r="L77" i="2" s="1"/>
  <c r="J77" i="2"/>
  <c r="K140" i="2"/>
  <c r="L140" i="2" s="1"/>
  <c r="J140" i="2"/>
  <c r="J20" i="2"/>
  <c r="K20" i="2"/>
  <c r="L20" i="2" s="1"/>
  <c r="K18" i="2"/>
  <c r="L18" i="2" s="1"/>
  <c r="J18" i="2"/>
  <c r="B10" i="2" s="1"/>
  <c r="J142" i="2"/>
  <c r="K142" i="2"/>
  <c r="L142" i="2" s="1"/>
  <c r="K35" i="2"/>
  <c r="L35" i="2" s="1"/>
  <c r="J35" i="2"/>
  <c r="K45" i="2"/>
  <c r="L45" i="2" s="1"/>
  <c r="J45" i="2"/>
  <c r="K84" i="2"/>
  <c r="L84" i="2" s="1"/>
  <c r="J84" i="2"/>
  <c r="K99" i="2"/>
  <c r="L99" i="2" s="1"/>
  <c r="J99" i="2"/>
  <c r="K19" i="2"/>
  <c r="L19" i="2" s="1"/>
  <c r="J19" i="2"/>
  <c r="J70" i="2"/>
  <c r="K70" i="2"/>
  <c r="L70" i="2" s="1"/>
  <c r="J64" i="2"/>
  <c r="K34" i="2"/>
  <c r="L34" i="2" s="1"/>
  <c r="J34" i="2"/>
  <c r="K63" i="2"/>
  <c r="L63" i="2" s="1"/>
  <c r="J63" i="2"/>
  <c r="K128" i="2"/>
  <c r="L128" i="2" s="1"/>
  <c r="J128" i="2"/>
  <c r="K127" i="2"/>
  <c r="L127" i="2" s="1"/>
  <c r="J127" i="2"/>
  <c r="K101" i="2"/>
  <c r="L101" i="2" s="1"/>
  <c r="J101" i="2"/>
  <c r="K104" i="2"/>
  <c r="L104" i="2" s="1"/>
  <c r="J104" i="2"/>
  <c r="K120" i="2"/>
  <c r="L120" i="2" s="1"/>
  <c r="J120" i="2"/>
  <c r="K42" i="2"/>
  <c r="L42" i="2" s="1"/>
  <c r="J42" i="2"/>
  <c r="J82" i="2"/>
  <c r="K82" i="2"/>
  <c r="L82" i="2" s="1"/>
  <c r="K66" i="2"/>
  <c r="L66" i="2" s="1"/>
  <c r="J66" i="2"/>
  <c r="K26" i="2"/>
  <c r="L26" i="2" s="1"/>
  <c r="J26" i="2"/>
  <c r="K108" i="2"/>
  <c r="L108" i="2" s="1"/>
  <c r="J108" i="2"/>
  <c r="C11" i="2" l="1" a="1"/>
  <c r="C11" i="2" s="1"/>
  <c r="C9" i="2" a="1"/>
  <c r="C9" i="2" s="1"/>
  <c r="C10" i="2"/>
</calcChain>
</file>

<file path=xl/sharedStrings.xml><?xml version="1.0" encoding="utf-8"?>
<sst xmlns="http://schemas.openxmlformats.org/spreadsheetml/2006/main" count="306" uniqueCount="113">
  <si>
    <t>NumPassengers</t>
  </si>
  <si>
    <t>Month</t>
  </si>
  <si>
    <t>Amtrak Ridership Number of Passengers ( in thousands)</t>
  </si>
  <si>
    <t>Forecasting results for NumPassengers</t>
  </si>
  <si>
    <t>Moving averages</t>
  </si>
  <si>
    <t>Span</t>
  </si>
  <si>
    <t>Estimation period</t>
  </si>
  <si>
    <t>MAE</t>
  </si>
  <si>
    <t>RMSE</t>
  </si>
  <si>
    <t>MAPE</t>
  </si>
  <si>
    <t>Deseas</t>
  </si>
  <si>
    <t>Actual</t>
  </si>
  <si>
    <t>Date</t>
  </si>
  <si>
    <t>Observation</t>
  </si>
  <si>
    <t>Forecast</t>
  </si>
  <si>
    <t>Error</t>
  </si>
  <si>
    <t>SeasIndex</t>
  </si>
  <si>
    <t>DeseasObs</t>
  </si>
  <si>
    <t>DeseasFCast</t>
  </si>
  <si>
    <t>DeseasError</t>
  </si>
  <si>
    <t>log(Numpassengers)</t>
  </si>
  <si>
    <t>train-valid</t>
  </si>
  <si>
    <t>season</t>
  </si>
  <si>
    <t>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</si>
  <si>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</si>
  <si>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</si>
  <si>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</si>
  <si>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</si>
  <si>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</si>
  <si>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</si>
  <si>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</si>
  <si>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</si>
  <si>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</si>
  <si>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</si>
  <si>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</si>
  <si>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</si>
  <si>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</t>
  </si>
  <si>
    <t>Ridership</t>
  </si>
  <si>
    <r>
      <rPr>
        <sz val="10"/>
        <rFont val="宋体"/>
        <family val="2"/>
        <charset val="134"/>
      </rPr>
      <t>华为</t>
    </r>
    <r>
      <rPr>
        <sz val="10"/>
        <rFont val="Arial"/>
        <family val="2"/>
      </rPr>
      <t>niubility</t>
    </r>
    <phoneticPr fontId="7" type="noConversion"/>
  </si>
  <si>
    <t>others</t>
    <phoneticPr fontId="7" type="noConversion"/>
  </si>
  <si>
    <t>时间</t>
    <phoneticPr fontId="3" type="noConversion"/>
  </si>
  <si>
    <r>
      <t>5</t>
    </r>
    <r>
      <rPr>
        <sz val="10"/>
        <rFont val="宋体"/>
        <family val="2"/>
        <charset val="134"/>
      </rPr>
      <t>分钟</t>
    </r>
    <phoneticPr fontId="3" type="noConversion"/>
  </si>
  <si>
    <r>
      <t>6</t>
    </r>
    <r>
      <rPr>
        <sz val="10"/>
        <rFont val="宋体"/>
        <family val="2"/>
        <charset val="134"/>
      </rPr>
      <t>分钟</t>
    </r>
    <phoneticPr fontId="3" type="noConversion"/>
  </si>
  <si>
    <r>
      <t>7分钟</t>
    </r>
    <r>
      <rPr>
        <sz val="10"/>
        <rFont val="宋体"/>
        <family val="2"/>
        <charset val="134"/>
      </rPr>
      <t/>
    </r>
  </si>
  <si>
    <r>
      <t>8分钟</t>
    </r>
    <r>
      <rPr>
        <sz val="10"/>
        <rFont val="宋体"/>
        <family val="2"/>
        <charset val="134"/>
      </rPr>
      <t/>
    </r>
  </si>
  <si>
    <r>
      <t>9分钟</t>
    </r>
    <r>
      <rPr>
        <sz val="10"/>
        <rFont val="宋体"/>
        <family val="2"/>
        <charset val="134"/>
      </rPr>
      <t/>
    </r>
  </si>
  <si>
    <r>
      <t>10分钟</t>
    </r>
    <r>
      <rPr>
        <sz val="10"/>
        <rFont val="宋体"/>
        <family val="2"/>
        <charset val="134"/>
      </rPr>
      <t/>
    </r>
  </si>
  <si>
    <r>
      <t>11分钟</t>
    </r>
    <r>
      <rPr>
        <sz val="10"/>
        <rFont val="宋体"/>
        <family val="2"/>
        <charset val="134"/>
      </rPr>
      <t/>
    </r>
  </si>
  <si>
    <r>
      <t>12分钟</t>
    </r>
    <r>
      <rPr>
        <sz val="10"/>
        <rFont val="宋体"/>
        <family val="2"/>
        <charset val="134"/>
      </rPr>
      <t/>
    </r>
  </si>
  <si>
    <r>
      <t>13分钟</t>
    </r>
    <r>
      <rPr>
        <sz val="10"/>
        <rFont val="宋体"/>
        <family val="2"/>
        <charset val="134"/>
      </rPr>
      <t/>
    </r>
  </si>
  <si>
    <r>
      <t>2</t>
    </r>
    <r>
      <rPr>
        <sz val="10"/>
        <rFont val="宋体"/>
        <family val="2"/>
        <charset val="134"/>
      </rPr>
      <t>分钟</t>
    </r>
    <phoneticPr fontId="3" type="noConversion"/>
  </si>
  <si>
    <r>
      <t>3分钟</t>
    </r>
    <r>
      <rPr>
        <sz val="10"/>
        <rFont val="宋体"/>
        <family val="2"/>
        <charset val="134"/>
      </rPr>
      <t/>
    </r>
  </si>
  <si>
    <r>
      <t>4分钟</t>
    </r>
    <r>
      <rPr>
        <sz val="10"/>
        <rFont val="宋体"/>
        <family val="2"/>
        <charset val="134"/>
      </rPr>
      <t/>
    </r>
  </si>
  <si>
    <r>
      <t>5分钟</t>
    </r>
    <r>
      <rPr>
        <sz val="10"/>
        <rFont val="宋体"/>
        <family val="2"/>
        <charset val="134"/>
      </rPr>
      <t/>
    </r>
  </si>
  <si>
    <r>
      <t>6分钟</t>
    </r>
    <r>
      <rPr>
        <sz val="10"/>
        <rFont val="宋体"/>
        <family val="2"/>
        <charset val="134"/>
      </rPr>
      <t/>
    </r>
  </si>
  <si>
    <r>
      <t>3</t>
    </r>
    <r>
      <rPr>
        <sz val="10"/>
        <rFont val="宋体"/>
        <family val="2"/>
        <charset val="134"/>
      </rPr>
      <t>分钟</t>
    </r>
    <phoneticPr fontId="3" type="noConversion"/>
  </si>
  <si>
    <r>
      <t>15分钟</t>
    </r>
    <r>
      <rPr>
        <sz val="10"/>
        <rFont val="宋体"/>
        <family val="2"/>
        <charset val="134"/>
      </rPr>
      <t/>
    </r>
  </si>
  <si>
    <r>
      <t>18分钟</t>
    </r>
    <r>
      <rPr>
        <sz val="10"/>
        <rFont val="宋体"/>
        <family val="2"/>
        <charset val="134"/>
      </rPr>
      <t/>
    </r>
  </si>
  <si>
    <r>
      <t>21分钟</t>
    </r>
    <r>
      <rPr>
        <sz val="10"/>
        <rFont val="宋体"/>
        <family val="2"/>
        <charset val="134"/>
      </rPr>
      <t/>
    </r>
  </si>
  <si>
    <r>
      <t>24分钟</t>
    </r>
    <r>
      <rPr>
        <sz val="10"/>
        <rFont val="宋体"/>
        <family val="2"/>
        <charset val="134"/>
      </rPr>
      <t/>
    </r>
  </si>
  <si>
    <r>
      <t>27分钟</t>
    </r>
    <r>
      <rPr>
        <sz val="10"/>
        <rFont val="宋体"/>
        <family val="2"/>
        <charset val="134"/>
      </rPr>
      <t/>
    </r>
  </si>
  <si>
    <r>
      <t>30分钟</t>
    </r>
    <r>
      <rPr>
        <sz val="10"/>
        <rFont val="宋体"/>
        <family val="2"/>
        <charset val="134"/>
      </rPr>
      <t/>
    </r>
  </si>
  <si>
    <r>
      <t>33分钟</t>
    </r>
    <r>
      <rPr>
        <sz val="10"/>
        <rFont val="宋体"/>
        <family val="2"/>
        <charset val="134"/>
      </rPr>
      <t/>
    </r>
  </si>
  <si>
    <r>
      <t>36分钟</t>
    </r>
    <r>
      <rPr>
        <sz val="10"/>
        <rFont val="宋体"/>
        <family val="2"/>
        <charset val="134"/>
      </rPr>
      <t/>
    </r>
  </si>
  <si>
    <r>
      <t>1</t>
    </r>
    <r>
      <rPr>
        <sz val="10"/>
        <rFont val="宋体"/>
        <family val="2"/>
        <charset val="134"/>
      </rPr>
      <t>分钟</t>
    </r>
    <phoneticPr fontId="3" type="noConversion"/>
  </si>
  <si>
    <r>
      <t>4</t>
    </r>
    <r>
      <rPr>
        <sz val="10"/>
        <rFont val="宋体"/>
        <family val="2"/>
        <charset val="134"/>
      </rPr>
      <t>分钟</t>
    </r>
    <phoneticPr fontId="3" type="noConversion"/>
  </si>
  <si>
    <r>
      <t>14分钟</t>
    </r>
    <r>
      <rPr>
        <sz val="10"/>
        <rFont val="宋体"/>
        <family val="2"/>
        <charset val="134"/>
      </rPr>
      <t/>
    </r>
  </si>
  <si>
    <r>
      <t>16分钟</t>
    </r>
    <r>
      <rPr>
        <sz val="10"/>
        <rFont val="宋体"/>
        <family val="2"/>
        <charset val="134"/>
      </rPr>
      <t/>
    </r>
  </si>
  <si>
    <r>
      <t>20分钟</t>
    </r>
    <r>
      <rPr>
        <sz val="10"/>
        <rFont val="宋体"/>
        <family val="2"/>
        <charset val="134"/>
      </rPr>
      <t/>
    </r>
  </si>
  <si>
    <r>
      <t>22分钟</t>
    </r>
    <r>
      <rPr>
        <sz val="10"/>
        <rFont val="宋体"/>
        <family val="2"/>
        <charset val="134"/>
      </rPr>
      <t/>
    </r>
  </si>
  <si>
    <r>
      <t>26分钟</t>
    </r>
    <r>
      <rPr>
        <sz val="10"/>
        <rFont val="宋体"/>
        <family val="2"/>
        <charset val="134"/>
      </rPr>
      <t/>
    </r>
  </si>
  <si>
    <r>
      <t>28分钟</t>
    </r>
    <r>
      <rPr>
        <sz val="10"/>
        <rFont val="宋体"/>
        <family val="2"/>
        <charset val="134"/>
      </rPr>
      <t/>
    </r>
  </si>
  <si>
    <r>
      <t>32分钟</t>
    </r>
    <r>
      <rPr>
        <sz val="10"/>
        <rFont val="宋体"/>
        <family val="2"/>
        <charset val="134"/>
      </rPr>
      <t/>
    </r>
  </si>
  <si>
    <r>
      <t>34分钟</t>
    </r>
    <r>
      <rPr>
        <sz val="10"/>
        <rFont val="宋体"/>
        <family val="2"/>
        <charset val="134"/>
      </rPr>
      <t/>
    </r>
  </si>
  <si>
    <r>
      <t>38分钟</t>
    </r>
    <r>
      <rPr>
        <sz val="10"/>
        <rFont val="宋体"/>
        <family val="2"/>
        <charset val="134"/>
      </rPr>
      <t/>
    </r>
  </si>
  <si>
    <r>
      <t>40分钟</t>
    </r>
    <r>
      <rPr>
        <sz val="10"/>
        <rFont val="宋体"/>
        <family val="2"/>
        <charset val="134"/>
      </rPr>
      <t/>
    </r>
  </si>
  <si>
    <r>
      <t>42分钟</t>
    </r>
    <r>
      <rPr>
        <sz val="10"/>
        <rFont val="宋体"/>
        <family val="2"/>
        <charset val="134"/>
      </rPr>
      <t/>
    </r>
  </si>
  <si>
    <r>
      <t>44分钟</t>
    </r>
    <r>
      <rPr>
        <sz val="10"/>
        <rFont val="宋体"/>
        <family val="2"/>
        <charset val="134"/>
      </rPr>
      <t/>
    </r>
  </si>
  <si>
    <r>
      <t>46分钟</t>
    </r>
    <r>
      <rPr>
        <sz val="10"/>
        <rFont val="宋体"/>
        <family val="2"/>
        <charset val="134"/>
      </rPr>
      <t/>
    </r>
  </si>
  <si>
    <r>
      <t>48分钟</t>
    </r>
    <r>
      <rPr>
        <sz val="10"/>
        <rFont val="宋体"/>
        <family val="2"/>
        <charset val="134"/>
      </rPr>
      <t/>
    </r>
  </si>
  <si>
    <r>
      <t>50分钟</t>
    </r>
    <r>
      <rPr>
        <sz val="10"/>
        <rFont val="宋体"/>
        <family val="2"/>
        <charset val="134"/>
      </rPr>
      <t/>
    </r>
  </si>
  <si>
    <r>
      <t>52分钟</t>
    </r>
    <r>
      <rPr>
        <sz val="10"/>
        <rFont val="宋体"/>
        <family val="2"/>
        <charset val="134"/>
      </rPr>
      <t/>
    </r>
  </si>
  <si>
    <r>
      <t>54分钟</t>
    </r>
    <r>
      <rPr>
        <sz val="10"/>
        <rFont val="宋体"/>
        <family val="2"/>
        <charset val="134"/>
      </rPr>
      <t/>
    </r>
  </si>
  <si>
    <r>
      <t>56分钟</t>
    </r>
    <r>
      <rPr>
        <sz val="10"/>
        <rFont val="宋体"/>
        <family val="2"/>
        <charset val="134"/>
      </rPr>
      <t/>
    </r>
  </si>
  <si>
    <r>
      <t>58分钟</t>
    </r>
    <r>
      <rPr>
        <sz val="10"/>
        <rFont val="宋体"/>
        <family val="2"/>
        <charset val="134"/>
      </rPr>
      <t/>
    </r>
  </si>
  <si>
    <r>
      <t>60分钟</t>
    </r>
    <r>
      <rPr>
        <sz val="10"/>
        <rFont val="宋体"/>
        <family val="2"/>
        <charset val="134"/>
      </rPr>
      <t/>
    </r>
  </si>
  <si>
    <r>
      <t>62分钟</t>
    </r>
    <r>
      <rPr>
        <sz val="10"/>
        <rFont val="宋体"/>
        <family val="2"/>
        <charset val="134"/>
      </rPr>
      <t/>
    </r>
  </si>
  <si>
    <r>
      <t>64分钟</t>
    </r>
    <r>
      <rPr>
        <sz val="10"/>
        <rFont val="宋体"/>
        <family val="2"/>
        <charset val="134"/>
      </rPr>
      <t/>
    </r>
  </si>
  <si>
    <r>
      <t>66分钟</t>
    </r>
    <r>
      <rPr>
        <sz val="10"/>
        <rFont val="宋体"/>
        <family val="2"/>
        <charset val="134"/>
      </rPr>
      <t/>
    </r>
  </si>
  <si>
    <r>
      <t>68分钟</t>
    </r>
    <r>
      <rPr>
        <sz val="10"/>
        <rFont val="宋体"/>
        <family val="2"/>
        <charset val="134"/>
      </rPr>
      <t/>
    </r>
  </si>
  <si>
    <r>
      <t>70分钟</t>
    </r>
    <r>
      <rPr>
        <sz val="10"/>
        <rFont val="宋体"/>
        <family val="2"/>
        <charset val="134"/>
      </rPr>
      <t/>
    </r>
  </si>
  <si>
    <r>
      <t>72分钟</t>
    </r>
    <r>
      <rPr>
        <sz val="10"/>
        <rFont val="宋体"/>
        <family val="2"/>
        <charset val="134"/>
      </rPr>
      <t/>
    </r>
  </si>
  <si>
    <r>
      <t>74分钟</t>
    </r>
    <r>
      <rPr>
        <sz val="10"/>
        <rFont val="宋体"/>
        <family val="2"/>
        <charset val="134"/>
      </rPr>
      <t/>
    </r>
  </si>
  <si>
    <r>
      <t>76分钟</t>
    </r>
    <r>
      <rPr>
        <sz val="10"/>
        <rFont val="宋体"/>
        <family val="2"/>
        <charset val="134"/>
      </rPr>
      <t/>
    </r>
  </si>
  <si>
    <r>
      <t>78分钟</t>
    </r>
    <r>
      <rPr>
        <sz val="10"/>
        <rFont val="宋体"/>
        <family val="2"/>
        <charset val="134"/>
      </rPr>
      <t/>
    </r>
  </si>
  <si>
    <r>
      <t>80分钟</t>
    </r>
    <r>
      <rPr>
        <sz val="10"/>
        <rFont val="宋体"/>
        <family val="2"/>
        <charset val="134"/>
      </rPr>
      <t/>
    </r>
  </si>
  <si>
    <r>
      <t>82分钟</t>
    </r>
    <r>
      <rPr>
        <sz val="10"/>
        <rFont val="宋体"/>
        <family val="2"/>
        <charset val="134"/>
      </rPr>
      <t/>
    </r>
  </si>
  <si>
    <r>
      <t>84分钟</t>
    </r>
    <r>
      <rPr>
        <sz val="10"/>
        <rFont val="宋体"/>
        <family val="2"/>
        <charset val="134"/>
      </rPr>
      <t/>
    </r>
  </si>
  <si>
    <r>
      <t>86分钟</t>
    </r>
    <r>
      <rPr>
        <sz val="10"/>
        <rFont val="宋体"/>
        <family val="2"/>
        <charset val="134"/>
      </rPr>
      <t/>
    </r>
  </si>
  <si>
    <r>
      <t>88分钟</t>
    </r>
    <r>
      <rPr>
        <sz val="10"/>
        <rFont val="宋体"/>
        <family val="2"/>
        <charset val="134"/>
      </rPr>
      <t/>
    </r>
  </si>
  <si>
    <r>
      <t>90分钟</t>
    </r>
    <r>
      <rPr>
        <sz val="10"/>
        <rFont val="宋体"/>
        <family val="2"/>
        <charset val="134"/>
      </rPr>
      <t/>
    </r>
  </si>
  <si>
    <r>
      <t>92分钟</t>
    </r>
    <r>
      <rPr>
        <sz val="10"/>
        <rFont val="宋体"/>
        <family val="2"/>
        <charset val="134"/>
      </rPr>
      <t/>
    </r>
  </si>
  <si>
    <r>
      <t>94分钟</t>
    </r>
    <r>
      <rPr>
        <sz val="10"/>
        <rFont val="宋体"/>
        <family val="2"/>
        <charset val="134"/>
      </rPr>
      <t/>
    </r>
  </si>
  <si>
    <r>
      <t>96分钟</t>
    </r>
    <r>
      <rPr>
        <sz val="10"/>
        <rFont val="宋体"/>
        <family val="2"/>
        <charset val="134"/>
      </rPr>
      <t/>
    </r>
  </si>
  <si>
    <r>
      <t>98分钟</t>
    </r>
    <r>
      <rPr>
        <sz val="10"/>
        <rFont val="宋体"/>
        <family val="2"/>
        <charset val="134"/>
      </rPr>
      <t/>
    </r>
  </si>
  <si>
    <r>
      <t>100分钟</t>
    </r>
    <r>
      <rPr>
        <sz val="10"/>
        <rFont val="宋体"/>
        <family val="2"/>
        <charset val="134"/>
      </rPr>
      <t/>
    </r>
  </si>
  <si>
    <r>
      <t>102分钟</t>
    </r>
    <r>
      <rPr>
        <sz val="10"/>
        <rFont val="宋体"/>
        <family val="2"/>
        <charset val="134"/>
      </rPr>
      <t/>
    </r>
  </si>
  <si>
    <r>
      <t>104分钟</t>
    </r>
    <r>
      <rPr>
        <sz val="10"/>
        <rFont val="宋体"/>
        <family val="2"/>
        <charset val="134"/>
      </rPr>
      <t/>
    </r>
  </si>
  <si>
    <r>
      <t>106分钟</t>
    </r>
    <r>
      <rPr>
        <sz val="10"/>
        <rFont val="宋体"/>
        <family val="2"/>
        <charset val="134"/>
      </rPr>
      <t/>
    </r>
  </si>
  <si>
    <r>
      <t>108分钟</t>
    </r>
    <r>
      <rPr>
        <sz val="10"/>
        <rFont val="宋体"/>
        <family val="2"/>
        <charset val="134"/>
      </rPr>
      <t/>
    </r>
  </si>
  <si>
    <r>
      <t>110分钟</t>
    </r>
    <r>
      <rPr>
        <sz val="10"/>
        <rFont val="宋体"/>
        <family val="2"/>
        <charset val="134"/>
      </rPr>
      <t/>
    </r>
  </si>
  <si>
    <r>
      <t>112分钟</t>
    </r>
    <r>
      <rPr>
        <sz val="10"/>
        <rFont val="宋体"/>
        <family val="2"/>
        <charset val="134"/>
      </rPr>
      <t/>
    </r>
  </si>
  <si>
    <r>
      <t>114分钟</t>
    </r>
    <r>
      <rPr>
        <sz val="10"/>
        <rFont val="宋体"/>
        <family val="2"/>
        <charset val="134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</si>
</sst>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"/>
  </numFmts>
  <fonts count="10" x14ac:knownFonts="1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8"/>
      <name val="Arial"/>
      <family val="2"/>
    </font>
    <font>
      <sz val="9"/>
      <name val="宋体"/>
      <family val="3"/>
      <charset val="134"/>
    </font>
    <font>
      <sz val="10"/>
      <name val="宋体"/>
      <family val="2"/>
      <charset val="134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1" fontId="2" fillId="0" borderId="0" xfId="1" applyNumberFormat="1" applyFont="1" applyAlignment="1">
      <alignment horizontal="right"/>
    </xf>
    <xf numFmtId="17" fontId="0" fillId="0" borderId="0" xfId="0" applyNumberFormat="1"/>
    <xf numFmtId="0" fontId="0" fillId="0" borderId="0" xfId="0" applyAlignment="1">
      <alignment horizontal="right"/>
    </xf>
    <xf numFmtId="0" fontId="5" fillId="0" borderId="0" xfId="0" applyFont="1" applyAlignment="1">
      <alignment horizontal="left"/>
    </xf>
    <xf numFmtId="0" fontId="4" fillId="0" borderId="0" xfId="0" applyFont="1"/>
    <xf numFmtId="1" fontId="0" fillId="0" borderId="0" xfId="0" applyNumberFormat="1"/>
    <xf numFmtId="17" fontId="6" fillId="0" borderId="0" xfId="0" applyNumberFormat="1" applyFont="1" applyAlignment="1">
      <alignment horizontal="right"/>
    </xf>
    <xf numFmtId="176" fontId="6" fillId="0" borderId="0" xfId="0" applyNumberFormat="1" applyFont="1"/>
    <xf numFmtId="177" fontId="0" fillId="0" borderId="0" xfId="0" applyNumberFormat="1"/>
    <xf numFmtId="10" fontId="0" fillId="0" borderId="0" xfId="0" applyNumberFormat="1"/>
    <xf numFmtId="0" fontId="2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1" fontId="1" fillId="0" borderId="0" xfId="1" applyNumberFormat="1" applyFont="1" applyFill="1" applyAlignment="1">
      <alignment horizontal="right"/>
    </xf>
    <xf numFmtId="17" fontId="0" fillId="0" borderId="0" xfId="0" applyNumberFormat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/>
  </cellXfs>
  <cellStyles count="2">
    <cellStyle name="Normal_DATA" xfId="1" xr:uid="{00000000-0005-0000-0000-000000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nurag\Desktop\h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Chart1"/>
      <sheetName val="Sheet1"/>
      <sheetName val="ACF_Output1"/>
      <sheetName val="PACF_Output1"/>
    </sheetNames>
    <sheetDataSet>
      <sheetData sheetId="0"/>
      <sheetData sheetId="1" refreshError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tabSelected="1" workbookViewId="0">
      <selection activeCell="K3" sqref="K3"/>
    </sheetView>
  </sheetViews>
  <sheetFormatPr defaultRowHeight="13.2" x14ac:dyDescent="0.25"/>
  <cols>
    <col min="2" max="2" width="15.33203125" bestFit="1" customWidth="1"/>
    <col min="3" max="4" width="9.109375" style="11" customWidth="1"/>
    <col min="5" max="5" width="12.88671875" customWidth="1"/>
    <col min="6" max="6" width="9.109375" style="11" customWidth="1"/>
  </cols>
  <sheetData>
    <row r="1" spans="1:7" x14ac:dyDescent="0.25">
      <c r="A1" s="12" t="s">
        <v>1</v>
      </c>
      <c r="B1" s="13" t="s">
        <v>0</v>
      </c>
      <c r="C1" s="13" t="s">
        <v>23</v>
      </c>
      <c r="D1" s="11" t="s">
        <v>22</v>
      </c>
      <c r="E1" t="s">
        <v>20</v>
      </c>
      <c r="F1" s="11" t="s">
        <v>21</v>
      </c>
      <c r="G1" s="19" t="s">
        <v>40</v>
      </c>
    </row>
    <row r="2" spans="1:7" x14ac:dyDescent="0.25">
      <c r="A2" s="2">
        <v>35431</v>
      </c>
      <c r="B2" s="1">
        <v>1396.588</v>
      </c>
      <c r="C2" s="11">
        <v>1</v>
      </c>
      <c r="D2" t="s">
        <v>24</v>
      </c>
      <c r="E2">
        <f t="shared" ref="E2:E33" si="0">LN(B2)</f>
        <v>7.2417873980794463</v>
      </c>
      <c r="F2" s="11" t="s">
        <v>23</v>
      </c>
      <c r="G2" t="s">
        <v>41</v>
      </c>
    </row>
    <row r="3" spans="1:7" x14ac:dyDescent="0.25">
      <c r="A3" s="2">
        <v>35462</v>
      </c>
      <c r="B3" s="1">
        <v>1371.69</v>
      </c>
      <c r="C3" s="11">
        <v>2</v>
      </c>
      <c r="D3" t="s">
        <v>25</v>
      </c>
      <c r="E3">
        <f t="shared" si="0"/>
        <v>7.2237988352339775</v>
      </c>
      <c r="F3" s="11" t="s">
        <v>23</v>
      </c>
      <c r="G3" t="s">
        <v>42</v>
      </c>
    </row>
    <row r="4" spans="1:7" x14ac:dyDescent="0.25">
      <c r="A4" s="2">
        <v>35490</v>
      </c>
      <c r="B4" s="1">
        <v>1707.5219999999999</v>
      </c>
      <c r="C4" s="11">
        <v>3</v>
      </c>
      <c r="D4" t="s">
        <v>26</v>
      </c>
      <c r="E4">
        <f t="shared" si="0"/>
        <v>7.4427984756957644</v>
      </c>
      <c r="F4" s="11" t="s">
        <v>23</v>
      </c>
      <c r="G4" t="s">
        <v>43</v>
      </c>
    </row>
    <row r="5" spans="1:7" x14ac:dyDescent="0.25">
      <c r="A5" s="2">
        <v>35521</v>
      </c>
      <c r="B5" s="1">
        <v>1654.604</v>
      </c>
      <c r="C5" s="11">
        <v>4</v>
      </c>
      <c r="D5" t="s">
        <v>27</v>
      </c>
      <c r="E5">
        <f t="shared" si="0"/>
        <v>7.4113169842558797</v>
      </c>
      <c r="F5" s="11" t="s">
        <v>23</v>
      </c>
      <c r="G5" t="s">
        <v>44</v>
      </c>
    </row>
    <row r="6" spans="1:7" x14ac:dyDescent="0.25">
      <c r="A6" s="2">
        <v>35551</v>
      </c>
      <c r="B6" s="1">
        <v>1762.903</v>
      </c>
      <c r="C6" s="11">
        <v>5</v>
      </c>
      <c r="D6" t="s">
        <v>28</v>
      </c>
      <c r="E6">
        <f t="shared" si="0"/>
        <v>7.4747171610316983</v>
      </c>
      <c r="F6" s="11" t="s">
        <v>23</v>
      </c>
      <c r="G6" t="s">
        <v>45</v>
      </c>
    </row>
    <row r="7" spans="1:7" x14ac:dyDescent="0.25">
      <c r="A7" s="2">
        <v>35582</v>
      </c>
      <c r="B7" s="1">
        <v>1775.8</v>
      </c>
      <c r="C7" s="11">
        <v>6</v>
      </c>
      <c r="D7" t="s">
        <v>29</v>
      </c>
      <c r="E7">
        <f t="shared" si="0"/>
        <v>7.4820063045982268</v>
      </c>
      <c r="F7" s="11" t="s">
        <v>23</v>
      </c>
      <c r="G7" t="s">
        <v>46</v>
      </c>
    </row>
    <row r="8" spans="1:7" x14ac:dyDescent="0.25">
      <c r="A8" s="2">
        <v>35612</v>
      </c>
      <c r="B8" s="1">
        <v>1934.2190000000001</v>
      </c>
      <c r="C8" s="11">
        <v>7</v>
      </c>
      <c r="D8" t="s">
        <v>30</v>
      </c>
      <c r="E8">
        <f t="shared" si="0"/>
        <v>7.5674589064173272</v>
      </c>
      <c r="F8" s="11" t="s">
        <v>23</v>
      </c>
      <c r="G8" t="s">
        <v>47</v>
      </c>
    </row>
    <row r="9" spans="1:7" x14ac:dyDescent="0.25">
      <c r="A9" s="2">
        <v>35643</v>
      </c>
      <c r="B9" s="1">
        <v>2008.0550000000001</v>
      </c>
      <c r="C9" s="11">
        <v>8</v>
      </c>
      <c r="D9" t="s">
        <v>31</v>
      </c>
      <c r="E9">
        <f t="shared" si="0"/>
        <v>7.6049218708747555</v>
      </c>
      <c r="F9" s="11" t="s">
        <v>23</v>
      </c>
      <c r="G9" t="s">
        <v>48</v>
      </c>
    </row>
    <row r="10" spans="1:7" x14ac:dyDescent="0.25">
      <c r="A10" s="2">
        <v>35674</v>
      </c>
      <c r="B10" s="1">
        <v>1615.924</v>
      </c>
      <c r="C10" s="11">
        <v>9</v>
      </c>
      <c r="D10" t="s">
        <v>32</v>
      </c>
      <c r="E10">
        <f t="shared" si="0"/>
        <v>7.3876622082721388</v>
      </c>
      <c r="F10" s="11" t="s">
        <v>23</v>
      </c>
      <c r="G10" t="s">
        <v>49</v>
      </c>
    </row>
    <row r="11" spans="1:7" x14ac:dyDescent="0.25">
      <c r="A11" s="2">
        <v>35704</v>
      </c>
      <c r="B11" s="1">
        <v>1773.91</v>
      </c>
      <c r="C11" s="11">
        <v>10</v>
      </c>
      <c r="D11" t="s">
        <v>33</v>
      </c>
      <c r="E11">
        <f t="shared" si="0"/>
        <v>7.4809414287753571</v>
      </c>
      <c r="F11" s="11" t="s">
        <v>23</v>
      </c>
      <c r="G11" t="s">
        <v>50</v>
      </c>
    </row>
    <row r="12" spans="1:7" x14ac:dyDescent="0.25">
      <c r="A12" s="2">
        <v>35735</v>
      </c>
      <c r="B12" s="1">
        <v>1732.3679999999999</v>
      </c>
      <c r="C12" s="11">
        <v>11</v>
      </c>
      <c r="D12" t="s">
        <v>34</v>
      </c>
      <c r="E12">
        <f t="shared" si="0"/>
        <v>7.4572445376852263</v>
      </c>
      <c r="F12" s="11" t="s">
        <v>23</v>
      </c>
      <c r="G12" t="s">
        <v>51</v>
      </c>
    </row>
    <row r="13" spans="1:7" x14ac:dyDescent="0.25">
      <c r="A13" s="2">
        <v>35765</v>
      </c>
      <c r="B13" s="1">
        <v>1796.626</v>
      </c>
      <c r="C13" s="11">
        <v>12</v>
      </c>
      <c r="D13" t="s">
        <v>35</v>
      </c>
      <c r="E13">
        <f t="shared" si="0"/>
        <v>7.4936657404704201</v>
      </c>
      <c r="F13" s="11" t="s">
        <v>23</v>
      </c>
      <c r="G13" t="s">
        <v>52</v>
      </c>
    </row>
    <row r="14" spans="1:7" x14ac:dyDescent="0.25">
      <c r="A14" s="2">
        <v>35796</v>
      </c>
      <c r="B14" s="1">
        <v>1570.33</v>
      </c>
      <c r="C14" s="11">
        <v>13</v>
      </c>
      <c r="D14" t="s">
        <v>24</v>
      </c>
      <c r="E14">
        <f t="shared" si="0"/>
        <v>7.3590410673381053</v>
      </c>
      <c r="F14" s="11" t="s">
        <v>23</v>
      </c>
      <c r="G14" t="s">
        <v>53</v>
      </c>
    </row>
    <row r="15" spans="1:7" x14ac:dyDescent="0.25">
      <c r="A15" s="2">
        <v>35827</v>
      </c>
      <c r="B15" s="1">
        <v>1412.691</v>
      </c>
      <c r="C15" s="11">
        <v>14</v>
      </c>
      <c r="D15" t="s">
        <v>25</v>
      </c>
      <c r="E15">
        <f t="shared" si="0"/>
        <v>7.2532516751179665</v>
      </c>
      <c r="F15" s="11" t="s">
        <v>23</v>
      </c>
      <c r="G15" t="s">
        <v>54</v>
      </c>
    </row>
    <row r="16" spans="1:7" x14ac:dyDescent="0.25">
      <c r="A16" s="2">
        <v>35855</v>
      </c>
      <c r="B16" s="1">
        <v>1754.6410000000001</v>
      </c>
      <c r="C16" s="11">
        <v>15</v>
      </c>
      <c r="D16" t="s">
        <v>26</v>
      </c>
      <c r="E16">
        <f t="shared" si="0"/>
        <v>7.4700195565704837</v>
      </c>
      <c r="F16" s="11" t="s">
        <v>23</v>
      </c>
      <c r="G16" t="s">
        <v>43</v>
      </c>
    </row>
    <row r="17" spans="1:7" x14ac:dyDescent="0.25">
      <c r="A17" s="2">
        <v>35886</v>
      </c>
      <c r="B17" s="1">
        <v>1824.932</v>
      </c>
      <c r="C17" s="11">
        <v>16</v>
      </c>
      <c r="D17" t="s">
        <v>27</v>
      </c>
      <c r="E17">
        <f t="shared" si="0"/>
        <v>7.5092980050484384</v>
      </c>
      <c r="F17" s="11" t="s">
        <v>23</v>
      </c>
      <c r="G17" t="s">
        <v>44</v>
      </c>
    </row>
    <row r="18" spans="1:7" x14ac:dyDescent="0.25">
      <c r="A18" s="2">
        <v>35916</v>
      </c>
      <c r="B18" s="1">
        <v>1843.289</v>
      </c>
      <c r="C18" s="11">
        <v>17</v>
      </c>
      <c r="D18" t="s">
        <v>28</v>
      </c>
      <c r="E18">
        <f t="shared" si="0"/>
        <v>7.5193067549261379</v>
      </c>
      <c r="F18" s="11" t="s">
        <v>23</v>
      </c>
      <c r="G18" t="s">
        <v>45</v>
      </c>
    </row>
    <row r="19" spans="1:7" x14ac:dyDescent="0.25">
      <c r="A19" s="2">
        <v>35947</v>
      </c>
      <c r="B19" s="1">
        <v>1825.9639999999999</v>
      </c>
      <c r="C19" s="11">
        <v>18</v>
      </c>
      <c r="D19" t="s">
        <v>29</v>
      </c>
      <c r="E19">
        <f t="shared" si="0"/>
        <v>7.509863345736032</v>
      </c>
      <c r="F19" s="11" t="s">
        <v>23</v>
      </c>
      <c r="G19" t="s">
        <v>55</v>
      </c>
    </row>
    <row r="20" spans="1:7" x14ac:dyDescent="0.25">
      <c r="A20" s="2">
        <v>35977</v>
      </c>
      <c r="B20" s="1">
        <v>1968.172</v>
      </c>
      <c r="C20" s="11">
        <v>19</v>
      </c>
      <c r="D20" t="s">
        <v>30</v>
      </c>
      <c r="E20">
        <f t="shared" si="0"/>
        <v>7.5848604721671675</v>
      </c>
      <c r="F20" s="11" t="s">
        <v>23</v>
      </c>
      <c r="G20" t="s">
        <v>42</v>
      </c>
    </row>
    <row r="21" spans="1:7" x14ac:dyDescent="0.25">
      <c r="A21" s="2">
        <v>36008</v>
      </c>
      <c r="B21" s="1">
        <v>1921.645</v>
      </c>
      <c r="C21" s="11">
        <v>20</v>
      </c>
      <c r="D21" t="s">
        <v>31</v>
      </c>
      <c r="E21">
        <f t="shared" si="0"/>
        <v>7.5609368690365351</v>
      </c>
      <c r="F21" s="11" t="s">
        <v>23</v>
      </c>
      <c r="G21" t="s">
        <v>45</v>
      </c>
    </row>
    <row r="22" spans="1:7" x14ac:dyDescent="0.25">
      <c r="A22" s="2">
        <v>36039</v>
      </c>
      <c r="B22" s="1">
        <v>1669.597</v>
      </c>
      <c r="C22" s="11">
        <v>21</v>
      </c>
      <c r="D22" t="s">
        <v>32</v>
      </c>
      <c r="E22">
        <f t="shared" si="0"/>
        <v>7.4203375589238112</v>
      </c>
      <c r="F22" s="11" t="s">
        <v>23</v>
      </c>
      <c r="G22" t="s">
        <v>48</v>
      </c>
    </row>
    <row r="23" spans="1:7" x14ac:dyDescent="0.25">
      <c r="A23" s="2">
        <v>36069</v>
      </c>
      <c r="B23" s="1">
        <v>1791.4739999999999</v>
      </c>
      <c r="C23" s="11">
        <v>22</v>
      </c>
      <c r="D23" t="s">
        <v>33</v>
      </c>
      <c r="E23">
        <f t="shared" si="0"/>
        <v>7.490794023661743</v>
      </c>
      <c r="F23" s="11" t="s">
        <v>23</v>
      </c>
      <c r="G23" t="s">
        <v>56</v>
      </c>
    </row>
    <row r="24" spans="1:7" x14ac:dyDescent="0.25">
      <c r="A24" s="2">
        <v>36100</v>
      </c>
      <c r="B24" s="1">
        <v>1816.7139999999999</v>
      </c>
      <c r="C24" s="11">
        <v>23</v>
      </c>
      <c r="D24" t="s">
        <v>34</v>
      </c>
      <c r="E24">
        <f t="shared" si="0"/>
        <v>7.5047846536956246</v>
      </c>
      <c r="F24" s="11" t="s">
        <v>23</v>
      </c>
      <c r="G24" t="s">
        <v>57</v>
      </c>
    </row>
    <row r="25" spans="1:7" x14ac:dyDescent="0.25">
      <c r="A25" s="2">
        <v>36130</v>
      </c>
      <c r="B25" s="1">
        <v>1846.7539999999999</v>
      </c>
      <c r="C25" s="11">
        <v>24</v>
      </c>
      <c r="D25" t="s">
        <v>35</v>
      </c>
      <c r="E25">
        <f t="shared" si="0"/>
        <v>7.5211847823737408</v>
      </c>
      <c r="F25" s="11" t="s">
        <v>23</v>
      </c>
      <c r="G25" t="s">
        <v>58</v>
      </c>
    </row>
    <row r="26" spans="1:7" x14ac:dyDescent="0.25">
      <c r="A26" s="2">
        <v>36161</v>
      </c>
      <c r="B26" s="1">
        <v>1599.4269999999999</v>
      </c>
      <c r="C26" s="11">
        <v>25</v>
      </c>
      <c r="D26" t="s">
        <v>24</v>
      </c>
      <c r="E26">
        <f t="shared" si="0"/>
        <v>7.3774007190858004</v>
      </c>
      <c r="F26" s="11" t="s">
        <v>23</v>
      </c>
      <c r="G26" t="s">
        <v>59</v>
      </c>
    </row>
    <row r="27" spans="1:7" x14ac:dyDescent="0.25">
      <c r="A27" s="2">
        <v>36192</v>
      </c>
      <c r="B27" s="1">
        <v>1548.8040000000001</v>
      </c>
      <c r="C27" s="11">
        <v>26</v>
      </c>
      <c r="D27" t="s">
        <v>25</v>
      </c>
      <c r="E27">
        <f t="shared" si="0"/>
        <v>7.345238299163606</v>
      </c>
      <c r="F27" s="11" t="s">
        <v>23</v>
      </c>
      <c r="G27" t="s">
        <v>60</v>
      </c>
    </row>
    <row r="28" spans="1:7" x14ac:dyDescent="0.25">
      <c r="A28" s="2">
        <v>36220</v>
      </c>
      <c r="B28" s="1">
        <v>1832.3330000000001</v>
      </c>
      <c r="C28" s="11">
        <v>27</v>
      </c>
      <c r="D28" t="s">
        <v>26</v>
      </c>
      <c r="E28">
        <f t="shared" si="0"/>
        <v>7.5133452972751247</v>
      </c>
      <c r="F28" s="11" t="s">
        <v>23</v>
      </c>
      <c r="G28" t="s">
        <v>61</v>
      </c>
    </row>
    <row r="29" spans="1:7" x14ac:dyDescent="0.25">
      <c r="A29" s="2">
        <v>36251</v>
      </c>
      <c r="B29" s="1">
        <v>1839.72</v>
      </c>
      <c r="C29" s="11">
        <v>28</v>
      </c>
      <c r="D29" t="s">
        <v>27</v>
      </c>
      <c r="E29">
        <f t="shared" si="0"/>
        <v>7.5173686651103635</v>
      </c>
      <c r="F29" s="11" t="s">
        <v>23</v>
      </c>
      <c r="G29" t="s">
        <v>62</v>
      </c>
    </row>
    <row r="30" spans="1:7" x14ac:dyDescent="0.25">
      <c r="A30" s="2">
        <v>36281</v>
      </c>
      <c r="B30" s="1">
        <v>1846.498</v>
      </c>
      <c r="C30" s="11">
        <v>29</v>
      </c>
      <c r="D30" t="s">
        <v>28</v>
      </c>
      <c r="E30">
        <f t="shared" si="0"/>
        <v>7.5210461511617845</v>
      </c>
      <c r="F30" s="11" t="s">
        <v>23</v>
      </c>
      <c r="G30" t="s">
        <v>63</v>
      </c>
    </row>
    <row r="31" spans="1:7" x14ac:dyDescent="0.25">
      <c r="A31" s="2">
        <v>36312</v>
      </c>
      <c r="B31" s="1">
        <v>1864.8520000000001</v>
      </c>
      <c r="C31" s="11">
        <v>30</v>
      </c>
      <c r="D31" t="s">
        <v>29</v>
      </c>
      <c r="E31">
        <f t="shared" si="0"/>
        <v>7.5309369723606521</v>
      </c>
      <c r="F31" s="11" t="s">
        <v>23</v>
      </c>
      <c r="G31" t="s">
        <v>64</v>
      </c>
    </row>
    <row r="32" spans="1:7" x14ac:dyDescent="0.25">
      <c r="A32" s="2">
        <v>36342</v>
      </c>
      <c r="B32" s="1">
        <v>1965.7429999999999</v>
      </c>
      <c r="C32" s="11">
        <v>31</v>
      </c>
      <c r="D32" t="s">
        <v>30</v>
      </c>
      <c r="E32">
        <f t="shared" si="0"/>
        <v>7.5836255698834716</v>
      </c>
      <c r="F32" s="11" t="s">
        <v>23</v>
      </c>
      <c r="G32" t="s">
        <v>50</v>
      </c>
    </row>
    <row r="33" spans="1:7" x14ac:dyDescent="0.25">
      <c r="A33" s="2">
        <v>36373</v>
      </c>
      <c r="B33" s="1">
        <v>1949.002</v>
      </c>
      <c r="C33" s="11">
        <v>32</v>
      </c>
      <c r="D33" t="s">
        <v>31</v>
      </c>
      <c r="E33">
        <f t="shared" si="0"/>
        <v>7.5750727256742998</v>
      </c>
      <c r="F33" s="11" t="s">
        <v>23</v>
      </c>
      <c r="G33" t="s">
        <v>65</v>
      </c>
    </row>
    <row r="34" spans="1:7" x14ac:dyDescent="0.25">
      <c r="A34" s="2">
        <v>36404</v>
      </c>
      <c r="B34" s="1">
        <v>1607.373</v>
      </c>
      <c r="C34" s="11">
        <v>33</v>
      </c>
      <c r="D34" t="s">
        <v>32</v>
      </c>
      <c r="E34">
        <f t="shared" ref="E34:E65" si="1">LN(B34)</f>
        <v>7.3823564483251118</v>
      </c>
      <c r="F34" s="11" t="s">
        <v>23</v>
      </c>
      <c r="G34" t="s">
        <v>54</v>
      </c>
    </row>
    <row r="35" spans="1:7" x14ac:dyDescent="0.25">
      <c r="A35" s="2">
        <v>36434</v>
      </c>
      <c r="B35" s="1">
        <v>1803.664</v>
      </c>
      <c r="C35" s="11">
        <v>34</v>
      </c>
      <c r="D35" t="s">
        <v>33</v>
      </c>
      <c r="E35">
        <f t="shared" si="1"/>
        <v>7.4975754305037485</v>
      </c>
      <c r="F35" s="11" t="s">
        <v>23</v>
      </c>
      <c r="G35" t="s">
        <v>44</v>
      </c>
    </row>
    <row r="36" spans="1:7" x14ac:dyDescent="0.25">
      <c r="A36" s="2">
        <v>36465</v>
      </c>
      <c r="B36" s="1">
        <v>1850.309</v>
      </c>
      <c r="C36" s="11">
        <v>35</v>
      </c>
      <c r="D36" t="s">
        <v>34</v>
      </c>
      <c r="E36">
        <f t="shared" si="1"/>
        <v>7.5231079311519364</v>
      </c>
      <c r="F36" s="11" t="s">
        <v>23</v>
      </c>
      <c r="G36" t="s">
        <v>46</v>
      </c>
    </row>
    <row r="37" spans="1:7" x14ac:dyDescent="0.25">
      <c r="A37" s="2">
        <v>36495</v>
      </c>
      <c r="B37" s="1">
        <v>1836.4349999999999</v>
      </c>
      <c r="C37" s="11">
        <v>36</v>
      </c>
      <c r="D37" t="s">
        <v>35</v>
      </c>
      <c r="E37">
        <f t="shared" si="1"/>
        <v>7.5155814712219797</v>
      </c>
      <c r="F37" s="11" t="s">
        <v>23</v>
      </c>
      <c r="G37" t="s">
        <v>48</v>
      </c>
    </row>
    <row r="38" spans="1:7" x14ac:dyDescent="0.25">
      <c r="A38" s="2">
        <v>36526</v>
      </c>
      <c r="B38" s="1">
        <v>1541.66</v>
      </c>
      <c r="C38" s="11">
        <v>37</v>
      </c>
      <c r="D38" t="s">
        <v>24</v>
      </c>
      <c r="E38">
        <f t="shared" si="1"/>
        <v>7.340615036944742</v>
      </c>
      <c r="F38" s="11" t="s">
        <v>23</v>
      </c>
      <c r="G38" t="s">
        <v>66</v>
      </c>
    </row>
    <row r="39" spans="1:7" x14ac:dyDescent="0.25">
      <c r="A39" s="2">
        <v>36557</v>
      </c>
      <c r="B39" s="1">
        <v>1616.9280000000001</v>
      </c>
      <c r="C39" s="11">
        <v>38</v>
      </c>
      <c r="D39" t="s">
        <v>25</v>
      </c>
      <c r="E39">
        <f t="shared" si="1"/>
        <v>7.388283331684085</v>
      </c>
      <c r="F39" s="11" t="s">
        <v>23</v>
      </c>
      <c r="G39" t="s">
        <v>67</v>
      </c>
    </row>
    <row r="40" spans="1:7" x14ac:dyDescent="0.25">
      <c r="A40" s="2">
        <v>36586</v>
      </c>
      <c r="B40" s="1">
        <v>1919.538</v>
      </c>
      <c r="C40" s="11">
        <v>39</v>
      </c>
      <c r="D40" t="s">
        <v>26</v>
      </c>
      <c r="E40">
        <f t="shared" si="1"/>
        <v>7.5598398110669871</v>
      </c>
      <c r="F40" s="11" t="s">
        <v>23</v>
      </c>
      <c r="G40" t="s">
        <v>57</v>
      </c>
    </row>
    <row r="41" spans="1:7" x14ac:dyDescent="0.25">
      <c r="A41" s="2">
        <v>36617</v>
      </c>
      <c r="B41" s="1">
        <v>1971.4929999999999</v>
      </c>
      <c r="C41" s="11">
        <v>40</v>
      </c>
      <c r="D41" t="s">
        <v>27</v>
      </c>
      <c r="E41">
        <f t="shared" si="1"/>
        <v>7.5865464027153857</v>
      </c>
      <c r="F41" s="11" t="s">
        <v>23</v>
      </c>
      <c r="G41" t="s">
        <v>68</v>
      </c>
    </row>
    <row r="42" spans="1:7" x14ac:dyDescent="0.25">
      <c r="A42" s="2">
        <v>36647</v>
      </c>
      <c r="B42" s="1">
        <v>1992.3009999999999</v>
      </c>
      <c r="C42" s="11">
        <v>41</v>
      </c>
      <c r="D42" t="s">
        <v>28</v>
      </c>
      <c r="E42">
        <f t="shared" si="1"/>
        <v>7.5970455311470912</v>
      </c>
      <c r="F42" s="11" t="s">
        <v>23</v>
      </c>
      <c r="G42" t="s">
        <v>69</v>
      </c>
    </row>
    <row r="43" spans="1:7" x14ac:dyDescent="0.25">
      <c r="A43" s="2">
        <v>36678</v>
      </c>
      <c r="B43" s="1">
        <v>2009.7629999999999</v>
      </c>
      <c r="C43" s="11">
        <v>42</v>
      </c>
      <c r="D43" t="s">
        <v>29</v>
      </c>
      <c r="E43">
        <f t="shared" si="1"/>
        <v>7.6057720836533766</v>
      </c>
      <c r="F43" s="11" t="s">
        <v>23</v>
      </c>
      <c r="G43" t="s">
        <v>59</v>
      </c>
    </row>
    <row r="44" spans="1:7" x14ac:dyDescent="0.25">
      <c r="A44" s="2">
        <v>36708</v>
      </c>
      <c r="B44" s="1">
        <v>2053.9960000000001</v>
      </c>
      <c r="C44" s="11">
        <v>43</v>
      </c>
      <c r="D44" t="s">
        <v>30</v>
      </c>
      <c r="E44">
        <f t="shared" si="1"/>
        <v>7.6275424430669387</v>
      </c>
      <c r="F44" s="11" t="s">
        <v>23</v>
      </c>
      <c r="G44" t="s">
        <v>70</v>
      </c>
    </row>
    <row r="45" spans="1:7" x14ac:dyDescent="0.25">
      <c r="A45" s="2">
        <v>36739</v>
      </c>
      <c r="B45" s="1">
        <v>2097.471</v>
      </c>
      <c r="C45" s="11">
        <v>44</v>
      </c>
      <c r="D45" t="s">
        <v>31</v>
      </c>
      <c r="E45">
        <f t="shared" si="1"/>
        <v>7.6484876122624676</v>
      </c>
      <c r="F45" s="11" t="s">
        <v>23</v>
      </c>
      <c r="G45" t="s">
        <v>71</v>
      </c>
    </row>
    <row r="46" spans="1:7" x14ac:dyDescent="0.25">
      <c r="A46" s="2">
        <v>36770</v>
      </c>
      <c r="B46" s="1">
        <v>1823.7059999999999</v>
      </c>
      <c r="C46" s="11">
        <v>45</v>
      </c>
      <c r="D46" t="s">
        <v>32</v>
      </c>
      <c r="E46">
        <f t="shared" si="1"/>
        <v>7.5086259734321796</v>
      </c>
      <c r="F46" s="11" t="s">
        <v>23</v>
      </c>
      <c r="G46" t="s">
        <v>61</v>
      </c>
    </row>
    <row r="47" spans="1:7" x14ac:dyDescent="0.25">
      <c r="A47" s="2">
        <v>36800</v>
      </c>
      <c r="B47" s="1">
        <v>1976.9970000000001</v>
      </c>
      <c r="C47" s="11">
        <v>46</v>
      </c>
      <c r="D47" t="s">
        <v>33</v>
      </c>
      <c r="E47">
        <f t="shared" si="1"/>
        <v>7.5893343057187828</v>
      </c>
      <c r="F47" s="11" t="s">
        <v>23</v>
      </c>
      <c r="G47" t="s">
        <v>72</v>
      </c>
    </row>
    <row r="48" spans="1:7" x14ac:dyDescent="0.25">
      <c r="A48" s="2">
        <v>36831</v>
      </c>
      <c r="B48" s="1">
        <v>1981.4079999999999</v>
      </c>
      <c r="C48" s="11">
        <v>47</v>
      </c>
      <c r="D48" t="s">
        <v>34</v>
      </c>
      <c r="E48">
        <f t="shared" si="1"/>
        <v>7.5915629820799868</v>
      </c>
      <c r="F48" s="11" t="s">
        <v>23</v>
      </c>
      <c r="G48" t="s">
        <v>73</v>
      </c>
    </row>
    <row r="49" spans="1:7" x14ac:dyDescent="0.25">
      <c r="A49" s="2">
        <v>36861</v>
      </c>
      <c r="B49" s="1">
        <v>2000.153</v>
      </c>
      <c r="C49" s="11">
        <v>48</v>
      </c>
      <c r="D49" t="s">
        <v>35</v>
      </c>
      <c r="E49">
        <f t="shared" si="1"/>
        <v>7.6009789566161068</v>
      </c>
      <c r="F49" s="11" t="s">
        <v>23</v>
      </c>
      <c r="G49" t="s">
        <v>63</v>
      </c>
    </row>
    <row r="50" spans="1:7" x14ac:dyDescent="0.25">
      <c r="A50" s="2">
        <v>36892</v>
      </c>
      <c r="B50" s="1">
        <v>1683.1479999999999</v>
      </c>
      <c r="C50" s="11">
        <v>49</v>
      </c>
      <c r="D50" t="s">
        <v>24</v>
      </c>
      <c r="E50">
        <f t="shared" si="1"/>
        <v>7.4284211285300543</v>
      </c>
      <c r="F50" s="11" t="s">
        <v>23</v>
      </c>
      <c r="G50" t="s">
        <v>74</v>
      </c>
    </row>
    <row r="51" spans="1:7" x14ac:dyDescent="0.25">
      <c r="A51" s="2">
        <v>36923</v>
      </c>
      <c r="B51" s="1">
        <v>1663.404</v>
      </c>
      <c r="C51" s="11">
        <v>50</v>
      </c>
      <c r="D51" t="s">
        <v>25</v>
      </c>
      <c r="E51">
        <f t="shared" si="1"/>
        <v>7.4166213841449338</v>
      </c>
      <c r="F51" s="11" t="s">
        <v>23</v>
      </c>
      <c r="G51" t="s">
        <v>75</v>
      </c>
    </row>
    <row r="52" spans="1:7" x14ac:dyDescent="0.25">
      <c r="A52" s="2">
        <v>36951</v>
      </c>
      <c r="B52" s="1">
        <v>2007.9280000000001</v>
      </c>
      <c r="C52" s="11">
        <v>51</v>
      </c>
      <c r="D52" t="s">
        <v>26</v>
      </c>
      <c r="E52">
        <f t="shared" si="1"/>
        <v>7.6048586235950522</v>
      </c>
      <c r="F52" s="11" t="s">
        <v>23</v>
      </c>
      <c r="G52" t="s">
        <v>76</v>
      </c>
    </row>
    <row r="53" spans="1:7" x14ac:dyDescent="0.25">
      <c r="A53" s="2">
        <v>36982</v>
      </c>
      <c r="B53" s="1">
        <v>2023.7919999999999</v>
      </c>
      <c r="C53" s="11">
        <v>52</v>
      </c>
      <c r="D53" t="s">
        <v>27</v>
      </c>
      <c r="E53">
        <f t="shared" si="1"/>
        <v>7.612728258328068</v>
      </c>
      <c r="F53" s="11" t="s">
        <v>23</v>
      </c>
      <c r="G53" t="s">
        <v>77</v>
      </c>
    </row>
    <row r="54" spans="1:7" x14ac:dyDescent="0.25">
      <c r="A54" s="2">
        <v>37012</v>
      </c>
      <c r="B54" s="1">
        <v>2047.008</v>
      </c>
      <c r="C54" s="11">
        <v>53</v>
      </c>
      <c r="D54" t="s">
        <v>28</v>
      </c>
      <c r="E54">
        <f t="shared" si="1"/>
        <v>7.6241344938119333</v>
      </c>
      <c r="F54" s="11" t="s">
        <v>23</v>
      </c>
      <c r="G54" t="s">
        <v>78</v>
      </c>
    </row>
    <row r="55" spans="1:7" x14ac:dyDescent="0.25">
      <c r="A55" s="2">
        <v>37043</v>
      </c>
      <c r="B55" s="1">
        <v>2072.913</v>
      </c>
      <c r="C55" s="11">
        <v>54</v>
      </c>
      <c r="D55" t="s">
        <v>29</v>
      </c>
      <c r="E55">
        <f t="shared" si="1"/>
        <v>7.6367101433930076</v>
      </c>
      <c r="F55" s="11" t="s">
        <v>23</v>
      </c>
      <c r="G55" t="s">
        <v>79</v>
      </c>
    </row>
    <row r="56" spans="1:7" x14ac:dyDescent="0.25">
      <c r="A56" s="2">
        <v>37073</v>
      </c>
      <c r="B56" s="1">
        <v>2126.7170000000001</v>
      </c>
      <c r="C56" s="11">
        <v>55</v>
      </c>
      <c r="D56" t="s">
        <v>30</v>
      </c>
      <c r="E56">
        <f t="shared" si="1"/>
        <v>7.6623347551022487</v>
      </c>
      <c r="F56" s="11" t="s">
        <v>23</v>
      </c>
      <c r="G56" t="s">
        <v>80</v>
      </c>
    </row>
    <row r="57" spans="1:7" x14ac:dyDescent="0.25">
      <c r="A57" s="2">
        <v>37104</v>
      </c>
      <c r="B57" s="1">
        <v>2202.6379999999999</v>
      </c>
      <c r="C57" s="11">
        <v>56</v>
      </c>
      <c r="D57" t="s">
        <v>31</v>
      </c>
      <c r="E57">
        <f t="shared" si="1"/>
        <v>7.6974110119201695</v>
      </c>
      <c r="F57" s="11" t="s">
        <v>23</v>
      </c>
      <c r="G57" t="s">
        <v>81</v>
      </c>
    </row>
    <row r="58" spans="1:7" x14ac:dyDescent="0.25">
      <c r="A58" s="2">
        <v>37135</v>
      </c>
      <c r="B58" s="1">
        <v>1707.693</v>
      </c>
      <c r="C58" s="11">
        <v>57</v>
      </c>
      <c r="D58" t="s">
        <v>32</v>
      </c>
      <c r="E58">
        <f t="shared" si="1"/>
        <v>7.4428986158041575</v>
      </c>
      <c r="F58" s="11" t="s">
        <v>23</v>
      </c>
      <c r="G58" t="s">
        <v>82</v>
      </c>
    </row>
    <row r="59" spans="1:7" x14ac:dyDescent="0.25">
      <c r="A59" s="2">
        <v>37165</v>
      </c>
      <c r="B59" s="1">
        <v>1950.7159999999999</v>
      </c>
      <c r="C59" s="11">
        <v>58</v>
      </c>
      <c r="D59" t="s">
        <v>33</v>
      </c>
      <c r="E59">
        <f t="shared" si="1"/>
        <v>7.5759517636510809</v>
      </c>
      <c r="F59" s="11" t="s">
        <v>23</v>
      </c>
      <c r="G59" t="s">
        <v>83</v>
      </c>
    </row>
    <row r="60" spans="1:7" x14ac:dyDescent="0.25">
      <c r="A60" s="2">
        <v>37196</v>
      </c>
      <c r="B60" s="1">
        <v>1973.614</v>
      </c>
      <c r="C60" s="11">
        <v>59</v>
      </c>
      <c r="D60" t="s">
        <v>34</v>
      </c>
      <c r="E60">
        <f t="shared" si="1"/>
        <v>7.5876216588259826</v>
      </c>
      <c r="F60" s="11" t="s">
        <v>23</v>
      </c>
      <c r="G60" t="s">
        <v>84</v>
      </c>
    </row>
    <row r="61" spans="1:7" x14ac:dyDescent="0.25">
      <c r="A61" s="2">
        <v>37226</v>
      </c>
      <c r="B61" s="1">
        <v>1984.729</v>
      </c>
      <c r="C61" s="11">
        <v>60</v>
      </c>
      <c r="D61" t="s">
        <v>35</v>
      </c>
      <c r="E61">
        <f t="shared" si="1"/>
        <v>7.5932376598715798</v>
      </c>
      <c r="F61" s="11" t="s">
        <v>23</v>
      </c>
      <c r="G61" t="s">
        <v>85</v>
      </c>
    </row>
    <row r="62" spans="1:7" x14ac:dyDescent="0.25">
      <c r="A62" s="2">
        <v>37257</v>
      </c>
      <c r="B62" s="1">
        <v>1759.6289999999999</v>
      </c>
      <c r="C62" s="11">
        <v>61</v>
      </c>
      <c r="D62" t="s">
        <v>24</v>
      </c>
      <c r="E62">
        <f t="shared" si="1"/>
        <v>7.4728582703571673</v>
      </c>
      <c r="F62" s="11" t="s">
        <v>23</v>
      </c>
      <c r="G62" t="s">
        <v>86</v>
      </c>
    </row>
    <row r="63" spans="1:7" x14ac:dyDescent="0.25">
      <c r="A63" s="2">
        <v>37288</v>
      </c>
      <c r="B63" s="1">
        <v>1770.595</v>
      </c>
      <c r="C63" s="11">
        <v>62</v>
      </c>
      <c r="D63" t="s">
        <v>25</v>
      </c>
      <c r="E63">
        <f t="shared" si="1"/>
        <v>7.4790709272714588</v>
      </c>
      <c r="F63" s="11" t="s">
        <v>23</v>
      </c>
      <c r="G63" t="s">
        <v>87</v>
      </c>
    </row>
    <row r="64" spans="1:7" x14ac:dyDescent="0.25">
      <c r="A64" s="2">
        <v>37316</v>
      </c>
      <c r="B64" s="1">
        <v>2019.912</v>
      </c>
      <c r="C64" s="11">
        <v>63</v>
      </c>
      <c r="D64" t="s">
        <v>26</v>
      </c>
      <c r="E64">
        <f t="shared" si="1"/>
        <v>7.6108092250898602</v>
      </c>
      <c r="F64" s="11" t="s">
        <v>23</v>
      </c>
      <c r="G64" t="s">
        <v>88</v>
      </c>
    </row>
    <row r="65" spans="1:7" x14ac:dyDescent="0.25">
      <c r="A65" s="2">
        <v>37347</v>
      </c>
      <c r="B65" s="1">
        <v>2048.3980000000001</v>
      </c>
      <c r="C65" s="11">
        <v>64</v>
      </c>
      <c r="D65" t="s">
        <v>27</v>
      </c>
      <c r="E65">
        <f t="shared" si="1"/>
        <v>7.6248133032161158</v>
      </c>
      <c r="F65" s="11" t="s">
        <v>23</v>
      </c>
      <c r="G65" t="s">
        <v>89</v>
      </c>
    </row>
    <row r="66" spans="1:7" x14ac:dyDescent="0.25">
      <c r="A66" s="2">
        <v>37377</v>
      </c>
      <c r="B66" s="1">
        <v>2068.7629999999999</v>
      </c>
      <c r="C66" s="11">
        <v>65</v>
      </c>
      <c r="D66" t="s">
        <v>28</v>
      </c>
      <c r="E66">
        <f t="shared" ref="E66:E88" si="2">LN(B66)</f>
        <v>7.6347061230935438</v>
      </c>
      <c r="F66" s="11" t="s">
        <v>23</v>
      </c>
      <c r="G66" t="s">
        <v>90</v>
      </c>
    </row>
    <row r="67" spans="1:7" x14ac:dyDescent="0.25">
      <c r="A67" s="2">
        <v>37408</v>
      </c>
      <c r="B67" s="1">
        <v>1994.2670000000001</v>
      </c>
      <c r="C67" s="11">
        <v>66</v>
      </c>
      <c r="D67" t="s">
        <v>29</v>
      </c>
      <c r="E67">
        <f t="shared" si="2"/>
        <v>7.5980318432628655</v>
      </c>
      <c r="F67" s="11" t="s">
        <v>23</v>
      </c>
      <c r="G67" t="s">
        <v>91</v>
      </c>
    </row>
    <row r="68" spans="1:7" x14ac:dyDescent="0.25">
      <c r="A68" s="2">
        <v>37438</v>
      </c>
      <c r="B68" s="1">
        <v>2075.2579999999998</v>
      </c>
      <c r="C68" s="11">
        <v>67</v>
      </c>
      <c r="D68" t="s">
        <v>30</v>
      </c>
      <c r="E68">
        <f t="shared" si="2"/>
        <v>7.6378407622849487</v>
      </c>
      <c r="F68" s="11" t="s">
        <v>23</v>
      </c>
      <c r="G68" t="s">
        <v>92</v>
      </c>
    </row>
    <row r="69" spans="1:7" x14ac:dyDescent="0.25">
      <c r="A69" s="2">
        <v>37469</v>
      </c>
      <c r="B69" s="1">
        <v>2026.56</v>
      </c>
      <c r="C69" s="11">
        <v>68</v>
      </c>
      <c r="D69" t="s">
        <v>31</v>
      </c>
      <c r="E69">
        <f t="shared" si="2"/>
        <v>7.6140950533280654</v>
      </c>
      <c r="F69" s="11" t="s">
        <v>23</v>
      </c>
      <c r="G69" t="s">
        <v>93</v>
      </c>
    </row>
    <row r="70" spans="1:7" x14ac:dyDescent="0.25">
      <c r="A70" s="2">
        <v>37500</v>
      </c>
      <c r="B70" s="1">
        <v>1734.155</v>
      </c>
      <c r="C70" s="11">
        <v>69</v>
      </c>
      <c r="D70" t="s">
        <v>32</v>
      </c>
      <c r="E70">
        <f t="shared" si="2"/>
        <v>7.4582755420422107</v>
      </c>
      <c r="F70" s="11" t="s">
        <v>23</v>
      </c>
      <c r="G70" t="s">
        <v>94</v>
      </c>
    </row>
    <row r="71" spans="1:7" x14ac:dyDescent="0.25">
      <c r="A71" s="2">
        <v>37530</v>
      </c>
      <c r="B71" s="1">
        <v>1916.771</v>
      </c>
      <c r="C71" s="11">
        <v>70</v>
      </c>
      <c r="D71" t="s">
        <v>33</v>
      </c>
      <c r="E71">
        <f t="shared" si="2"/>
        <v>7.5583972784243763</v>
      </c>
      <c r="F71" s="11" t="s">
        <v>23</v>
      </c>
      <c r="G71" t="s">
        <v>95</v>
      </c>
    </row>
    <row r="72" spans="1:7" x14ac:dyDescent="0.25">
      <c r="A72" s="2">
        <v>37561</v>
      </c>
      <c r="B72" s="1">
        <v>1858.345</v>
      </c>
      <c r="C72" s="11">
        <v>71</v>
      </c>
      <c r="D72" t="s">
        <v>34</v>
      </c>
      <c r="E72">
        <f t="shared" si="2"/>
        <v>7.5274415856674093</v>
      </c>
      <c r="F72" s="11" t="s">
        <v>23</v>
      </c>
      <c r="G72" t="s">
        <v>96</v>
      </c>
    </row>
    <row r="73" spans="1:7" x14ac:dyDescent="0.25">
      <c r="A73" s="2">
        <v>37591</v>
      </c>
      <c r="B73" s="1">
        <v>1996.3520000000001</v>
      </c>
      <c r="C73" s="11">
        <v>72</v>
      </c>
      <c r="D73" t="s">
        <v>35</v>
      </c>
      <c r="E73">
        <f t="shared" si="2"/>
        <v>7.5990767940285098</v>
      </c>
      <c r="F73" s="11" t="s">
        <v>23</v>
      </c>
      <c r="G73" t="s">
        <v>97</v>
      </c>
    </row>
    <row r="74" spans="1:7" x14ac:dyDescent="0.25">
      <c r="A74" s="2">
        <v>37622</v>
      </c>
      <c r="B74" s="1">
        <v>1778.0329999999999</v>
      </c>
      <c r="C74" s="11">
        <v>73</v>
      </c>
      <c r="D74" t="s">
        <v>24</v>
      </c>
      <c r="E74">
        <f t="shared" si="2"/>
        <v>7.4832629760815896</v>
      </c>
      <c r="F74" s="11" t="s">
        <v>23</v>
      </c>
      <c r="G74" t="s">
        <v>98</v>
      </c>
    </row>
    <row r="75" spans="1:7" x14ac:dyDescent="0.25">
      <c r="A75" s="2">
        <v>37653</v>
      </c>
      <c r="B75" s="1">
        <v>1749.489</v>
      </c>
      <c r="C75" s="11">
        <v>74</v>
      </c>
      <c r="D75" t="s">
        <v>25</v>
      </c>
      <c r="E75">
        <f t="shared" si="2"/>
        <v>7.4670790242772593</v>
      </c>
      <c r="F75" s="11" t="s">
        <v>23</v>
      </c>
      <c r="G75" t="s">
        <v>99</v>
      </c>
    </row>
    <row r="76" spans="1:7" x14ac:dyDescent="0.25">
      <c r="A76" s="2">
        <v>37681</v>
      </c>
      <c r="B76" s="1">
        <v>2066.4659999999999</v>
      </c>
      <c r="C76" s="11">
        <v>75</v>
      </c>
      <c r="D76" t="s">
        <v>26</v>
      </c>
      <c r="E76">
        <f t="shared" si="2"/>
        <v>7.6335951808766831</v>
      </c>
      <c r="F76" s="11" t="s">
        <v>23</v>
      </c>
      <c r="G76" t="s">
        <v>100</v>
      </c>
    </row>
    <row r="77" spans="1:7" x14ac:dyDescent="0.25">
      <c r="A77" s="2">
        <v>37712</v>
      </c>
      <c r="B77" s="1">
        <v>2098.8989999999999</v>
      </c>
      <c r="C77" s="11">
        <v>76</v>
      </c>
      <c r="D77" t="s">
        <v>27</v>
      </c>
      <c r="E77">
        <f t="shared" si="2"/>
        <v>7.6491682005114168</v>
      </c>
      <c r="F77" s="11" t="s">
        <v>36</v>
      </c>
      <c r="G77" t="s">
        <v>101</v>
      </c>
    </row>
    <row r="78" spans="1:7" x14ac:dyDescent="0.25">
      <c r="A78" s="2">
        <v>37742</v>
      </c>
      <c r="B78" s="1">
        <v>2104.9110000000001</v>
      </c>
      <c r="C78" s="11">
        <v>77</v>
      </c>
      <c r="D78" t="s">
        <v>28</v>
      </c>
      <c r="E78">
        <f t="shared" si="2"/>
        <v>7.6520284649376098</v>
      </c>
      <c r="F78" s="11" t="s">
        <v>36</v>
      </c>
      <c r="G78" t="s">
        <v>102</v>
      </c>
    </row>
    <row r="79" spans="1:7" x14ac:dyDescent="0.25">
      <c r="A79" s="2">
        <v>37773</v>
      </c>
      <c r="B79" s="1">
        <v>2129.6709999999998</v>
      </c>
      <c r="C79" s="11">
        <v>78</v>
      </c>
      <c r="D79" t="s">
        <v>29</v>
      </c>
      <c r="E79">
        <f t="shared" si="2"/>
        <v>7.6637227866793856</v>
      </c>
      <c r="F79" s="11" t="s">
        <v>36</v>
      </c>
      <c r="G79" t="s">
        <v>103</v>
      </c>
    </row>
    <row r="80" spans="1:7" x14ac:dyDescent="0.25">
      <c r="A80" s="2">
        <v>37803</v>
      </c>
      <c r="B80" s="1">
        <v>2223.3490000000002</v>
      </c>
      <c r="C80" s="11">
        <v>79</v>
      </c>
      <c r="D80" t="s">
        <v>30</v>
      </c>
      <c r="E80">
        <f t="shared" si="2"/>
        <v>7.706769896693495</v>
      </c>
      <c r="F80" s="11" t="s">
        <v>36</v>
      </c>
      <c r="G80" t="s">
        <v>104</v>
      </c>
    </row>
    <row r="81" spans="1:7" x14ac:dyDescent="0.25">
      <c r="A81" s="2">
        <v>37834</v>
      </c>
      <c r="B81" s="1">
        <v>2174.36</v>
      </c>
      <c r="C81" s="11">
        <v>80</v>
      </c>
      <c r="D81" t="s">
        <v>31</v>
      </c>
      <c r="E81">
        <f t="shared" si="2"/>
        <v>7.6844896473483502</v>
      </c>
      <c r="F81" s="11" t="s">
        <v>36</v>
      </c>
      <c r="G81" t="s">
        <v>105</v>
      </c>
    </row>
    <row r="82" spans="1:7" x14ac:dyDescent="0.25">
      <c r="A82" s="2">
        <v>37865</v>
      </c>
      <c r="B82" s="1">
        <v>1931.4059999999999</v>
      </c>
      <c r="C82" s="11">
        <v>81</v>
      </c>
      <c r="D82" t="s">
        <v>32</v>
      </c>
      <c r="E82">
        <f t="shared" si="2"/>
        <v>7.5660035140828228</v>
      </c>
      <c r="F82" s="11" t="s">
        <v>36</v>
      </c>
      <c r="G82" t="s">
        <v>106</v>
      </c>
    </row>
    <row r="83" spans="1:7" x14ac:dyDescent="0.25">
      <c r="A83" s="2">
        <v>37895</v>
      </c>
      <c r="B83" s="1">
        <v>2121.4699999999998</v>
      </c>
      <c r="C83" s="11">
        <v>82</v>
      </c>
      <c r="D83" t="s">
        <v>33</v>
      </c>
      <c r="E83">
        <f t="shared" si="2"/>
        <v>7.6598645236043801</v>
      </c>
      <c r="F83" s="11" t="s">
        <v>36</v>
      </c>
      <c r="G83" t="s">
        <v>107</v>
      </c>
    </row>
    <row r="84" spans="1:7" x14ac:dyDescent="0.25">
      <c r="A84" s="2">
        <v>37926</v>
      </c>
      <c r="B84" s="1">
        <v>2076.0540000000001</v>
      </c>
      <c r="C84" s="11">
        <v>83</v>
      </c>
      <c r="D84" t="s">
        <v>34</v>
      </c>
      <c r="E84">
        <f t="shared" si="2"/>
        <v>7.6382242555081783</v>
      </c>
      <c r="F84" s="11" t="s">
        <v>36</v>
      </c>
      <c r="G84" t="s">
        <v>108</v>
      </c>
    </row>
    <row r="85" spans="1:7" x14ac:dyDescent="0.25">
      <c r="A85" s="2">
        <v>37956</v>
      </c>
      <c r="B85" s="1">
        <v>2140.6770000000001</v>
      </c>
      <c r="C85" s="11">
        <v>84</v>
      </c>
      <c r="D85" t="s">
        <v>35</v>
      </c>
      <c r="E85">
        <f t="shared" si="2"/>
        <v>7.6688774131263475</v>
      </c>
      <c r="F85" s="11" t="s">
        <v>36</v>
      </c>
      <c r="G85" t="s">
        <v>109</v>
      </c>
    </row>
    <row r="86" spans="1:7" x14ac:dyDescent="0.25">
      <c r="A86" s="2">
        <v>37987</v>
      </c>
      <c r="B86" s="1">
        <v>1831.508</v>
      </c>
      <c r="C86" s="11">
        <v>85</v>
      </c>
      <c r="D86" t="s">
        <v>24</v>
      </c>
      <c r="E86">
        <f t="shared" si="2"/>
        <v>7.5128949502136972</v>
      </c>
      <c r="F86" s="11" t="s">
        <v>36</v>
      </c>
      <c r="G86" t="s">
        <v>110</v>
      </c>
    </row>
    <row r="87" spans="1:7" x14ac:dyDescent="0.25">
      <c r="A87" s="2">
        <v>38018</v>
      </c>
      <c r="B87" s="1">
        <v>1838.0060000000001</v>
      </c>
      <c r="C87" s="11">
        <v>86</v>
      </c>
      <c r="D87" t="s">
        <v>25</v>
      </c>
      <c r="E87">
        <f t="shared" si="2"/>
        <v>7.5164365673281495</v>
      </c>
      <c r="F87" s="11" t="s">
        <v>36</v>
      </c>
      <c r="G87" t="s">
        <v>111</v>
      </c>
    </row>
    <row r="88" spans="1:7" x14ac:dyDescent="0.25">
      <c r="A88" s="2">
        <v>38047</v>
      </c>
      <c r="B88" s="1">
        <v>2132.4459999999999</v>
      </c>
      <c r="C88" s="11">
        <v>87</v>
      </c>
      <c r="D88" t="s">
        <v>26</v>
      </c>
      <c r="E88">
        <f t="shared" si="2"/>
        <v>7.6650249566536575</v>
      </c>
      <c r="F88" s="11" t="s">
        <v>36</v>
      </c>
      <c r="G88" t="s">
        <v>112</v>
      </c>
    </row>
    <row r="89" spans="1:7" x14ac:dyDescent="0.25">
      <c r="D89"/>
    </row>
    <row r="90" spans="1:7" x14ac:dyDescent="0.25">
      <c r="D90"/>
    </row>
    <row r="91" spans="1:7" x14ac:dyDescent="0.25">
      <c r="D91"/>
    </row>
    <row r="92" spans="1:7" x14ac:dyDescent="0.25">
      <c r="D92"/>
    </row>
    <row r="93" spans="1:7" x14ac:dyDescent="0.25">
      <c r="D93"/>
    </row>
    <row r="94" spans="1:7" x14ac:dyDescent="0.25">
      <c r="D94"/>
    </row>
    <row r="95" spans="1:7" x14ac:dyDescent="0.25">
      <c r="D95"/>
    </row>
    <row r="96" spans="1:7" x14ac:dyDescent="0.25">
      <c r="D96"/>
    </row>
    <row r="97" spans="4:4" x14ac:dyDescent="0.25">
      <c r="D97"/>
    </row>
    <row r="98" spans="4:4" x14ac:dyDescent="0.25">
      <c r="D98"/>
    </row>
    <row r="99" spans="4:4" x14ac:dyDescent="0.25">
      <c r="D99"/>
    </row>
    <row r="100" spans="4:4" x14ac:dyDescent="0.25">
      <c r="D100"/>
    </row>
    <row r="101" spans="4:4" x14ac:dyDescent="0.25">
      <c r="D101"/>
    </row>
    <row r="102" spans="4:4" x14ac:dyDescent="0.25">
      <c r="D102"/>
    </row>
    <row r="103" spans="4:4" x14ac:dyDescent="0.25">
      <c r="D103"/>
    </row>
    <row r="104" spans="4:4" x14ac:dyDescent="0.25">
      <c r="D104"/>
    </row>
    <row r="105" spans="4:4" x14ac:dyDescent="0.25">
      <c r="D105"/>
    </row>
    <row r="106" spans="4:4" x14ac:dyDescent="0.25">
      <c r="D106"/>
    </row>
    <row r="107" spans="4:4" x14ac:dyDescent="0.25">
      <c r="D107"/>
    </row>
    <row r="108" spans="4:4" x14ac:dyDescent="0.25">
      <c r="D108"/>
    </row>
    <row r="109" spans="4:4" x14ac:dyDescent="0.25">
      <c r="D109"/>
    </row>
    <row r="110" spans="4:4" x14ac:dyDescent="0.25">
      <c r="D110"/>
    </row>
    <row r="111" spans="4:4" x14ac:dyDescent="0.25">
      <c r="D111"/>
    </row>
    <row r="112" spans="4:4" x14ac:dyDescent="0.25">
      <c r="D112"/>
    </row>
    <row r="113" spans="4:4" x14ac:dyDescent="0.25">
      <c r="D113"/>
    </row>
    <row r="114" spans="4:4" x14ac:dyDescent="0.25">
      <c r="D114"/>
    </row>
    <row r="115" spans="4:4" x14ac:dyDescent="0.25">
      <c r="D115"/>
    </row>
    <row r="116" spans="4:4" x14ac:dyDescent="0.25">
      <c r="D116"/>
    </row>
    <row r="117" spans="4:4" x14ac:dyDescent="0.25">
      <c r="D117"/>
    </row>
    <row r="118" spans="4:4" x14ac:dyDescent="0.25">
      <c r="D118"/>
    </row>
    <row r="119" spans="4:4" x14ac:dyDescent="0.25">
      <c r="D119"/>
    </row>
    <row r="120" spans="4:4" x14ac:dyDescent="0.25">
      <c r="D120"/>
    </row>
    <row r="121" spans="4:4" x14ac:dyDescent="0.25">
      <c r="D121"/>
    </row>
    <row r="122" spans="4:4" x14ac:dyDescent="0.25">
      <c r="D122"/>
    </row>
    <row r="123" spans="4:4" x14ac:dyDescent="0.25">
      <c r="D123"/>
    </row>
    <row r="124" spans="4:4" x14ac:dyDescent="0.25">
      <c r="D124"/>
    </row>
    <row r="125" spans="4:4" x14ac:dyDescent="0.25">
      <c r="D125"/>
    </row>
    <row r="126" spans="4:4" x14ac:dyDescent="0.25">
      <c r="D126"/>
    </row>
    <row r="127" spans="4:4" x14ac:dyDescent="0.25">
      <c r="D127"/>
    </row>
    <row r="128" spans="4:4" x14ac:dyDescent="0.25">
      <c r="D128"/>
    </row>
    <row r="129" spans="4:4" x14ac:dyDescent="0.25">
      <c r="D129"/>
    </row>
    <row r="130" spans="4:4" x14ac:dyDescent="0.25">
      <c r="D130"/>
    </row>
    <row r="131" spans="4:4" x14ac:dyDescent="0.25">
      <c r="D131"/>
    </row>
    <row r="132" spans="4:4" x14ac:dyDescent="0.25">
      <c r="D132"/>
    </row>
    <row r="133" spans="4:4" x14ac:dyDescent="0.25">
      <c r="D133"/>
    </row>
    <row r="134" spans="4:4" x14ac:dyDescent="0.25">
      <c r="D134"/>
    </row>
    <row r="135" spans="4:4" x14ac:dyDescent="0.25">
      <c r="D135"/>
    </row>
    <row r="136" spans="4:4" x14ac:dyDescent="0.25">
      <c r="D136"/>
    </row>
    <row r="137" spans="4:4" x14ac:dyDescent="0.25">
      <c r="D137"/>
    </row>
    <row r="138" spans="4:4" x14ac:dyDescent="0.25">
      <c r="D138"/>
    </row>
    <row r="139" spans="4:4" x14ac:dyDescent="0.25">
      <c r="D139"/>
    </row>
    <row r="140" spans="4:4" x14ac:dyDescent="0.25">
      <c r="D140"/>
    </row>
    <row r="141" spans="4:4" x14ac:dyDescent="0.25">
      <c r="D141"/>
    </row>
    <row r="142" spans="4:4" x14ac:dyDescent="0.25">
      <c r="D142"/>
    </row>
    <row r="143" spans="4:4" x14ac:dyDescent="0.25">
      <c r="D143"/>
    </row>
    <row r="144" spans="4:4" x14ac:dyDescent="0.25">
      <c r="D144"/>
    </row>
    <row r="145" spans="4:4" x14ac:dyDescent="0.25">
      <c r="D145"/>
    </row>
    <row r="146" spans="4:4" x14ac:dyDescent="0.25">
      <c r="D146"/>
    </row>
    <row r="147" spans="4:4" x14ac:dyDescent="0.25">
      <c r="D147"/>
    </row>
    <row r="148" spans="4:4" x14ac:dyDescent="0.25">
      <c r="D148"/>
    </row>
    <row r="149" spans="4:4" x14ac:dyDescent="0.25">
      <c r="D149"/>
    </row>
    <row r="150" spans="4:4" x14ac:dyDescent="0.25">
      <c r="D150"/>
    </row>
    <row r="151" spans="4:4" x14ac:dyDescent="0.25">
      <c r="D151"/>
    </row>
    <row r="152" spans="4:4" x14ac:dyDescent="0.25">
      <c r="D152"/>
    </row>
    <row r="153" spans="4:4" x14ac:dyDescent="0.25">
      <c r="D153"/>
    </row>
    <row r="154" spans="4:4" x14ac:dyDescent="0.25">
      <c r="D154"/>
    </row>
    <row r="155" spans="4:4" x14ac:dyDescent="0.25">
      <c r="D155"/>
    </row>
    <row r="156" spans="4:4" x14ac:dyDescent="0.25">
      <c r="D156"/>
    </row>
    <row r="157" spans="4:4" x14ac:dyDescent="0.25">
      <c r="D157"/>
    </row>
    <row r="158" spans="4:4" x14ac:dyDescent="0.25">
      <c r="D158"/>
    </row>
    <row r="159" spans="4:4" x14ac:dyDescent="0.25">
      <c r="D159"/>
    </row>
    <row r="160" spans="4:4" x14ac:dyDescent="0.25">
      <c r="D160"/>
    </row>
    <row r="161" spans="4:4" x14ac:dyDescent="0.25">
      <c r="D161"/>
    </row>
    <row r="162" spans="4:4" x14ac:dyDescent="0.25">
      <c r="D162"/>
    </row>
    <row r="163" spans="4:4" x14ac:dyDescent="0.25">
      <c r="D163"/>
    </row>
    <row r="164" spans="4:4" x14ac:dyDescent="0.25">
      <c r="D164"/>
    </row>
    <row r="165" spans="4:4" x14ac:dyDescent="0.25">
      <c r="D165"/>
    </row>
    <row r="166" spans="4:4" x14ac:dyDescent="0.25">
      <c r="D166"/>
    </row>
    <row r="167" spans="4:4" x14ac:dyDescent="0.25">
      <c r="D167"/>
    </row>
    <row r="168" spans="4:4" x14ac:dyDescent="0.25">
      <c r="D168"/>
    </row>
    <row r="169" spans="4:4" x14ac:dyDescent="0.25">
      <c r="D169"/>
    </row>
    <row r="170" spans="4:4" x14ac:dyDescent="0.25">
      <c r="D170"/>
    </row>
    <row r="171" spans="4:4" x14ac:dyDescent="0.25">
      <c r="D171"/>
    </row>
    <row r="172" spans="4:4" x14ac:dyDescent="0.25">
      <c r="D172"/>
    </row>
    <row r="173" spans="4:4" x14ac:dyDescent="0.25">
      <c r="D173"/>
    </row>
    <row r="174" spans="4:4" x14ac:dyDescent="0.25">
      <c r="D174"/>
    </row>
    <row r="175" spans="4:4" x14ac:dyDescent="0.25">
      <c r="D175"/>
    </row>
    <row r="176" spans="4:4" x14ac:dyDescent="0.25">
      <c r="D176"/>
    </row>
    <row r="177" spans="4:4" x14ac:dyDescent="0.25">
      <c r="D177"/>
    </row>
    <row r="178" spans="4:4" x14ac:dyDescent="0.25">
      <c r="D178"/>
    </row>
    <row r="179" spans="4:4" x14ac:dyDescent="0.25">
      <c r="D179"/>
    </row>
    <row r="180" spans="4:4" x14ac:dyDescent="0.25">
      <c r="D180"/>
    </row>
    <row r="181" spans="4:4" x14ac:dyDescent="0.25">
      <c r="D181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0"/>
  <sheetViews>
    <sheetView topLeftCell="A3" workbookViewId="0">
      <selection activeCell="A34" sqref="A34"/>
    </sheetView>
  </sheetViews>
  <sheetFormatPr defaultRowHeight="13.2" x14ac:dyDescent="0.25"/>
  <cols>
    <col min="1" max="3" width="14.6640625" customWidth="1"/>
    <col min="4" max="4" width="6.6640625" customWidth="1"/>
    <col min="5" max="12" width="12.6640625" customWidth="1"/>
  </cols>
  <sheetData>
    <row r="1" spans="1:14" x14ac:dyDescent="0.25">
      <c r="A1" s="4" t="s">
        <v>3</v>
      </c>
      <c r="E1" s="3" t="s">
        <v>12</v>
      </c>
      <c r="F1" s="3" t="s">
        <v>13</v>
      </c>
      <c r="G1" s="3" t="s">
        <v>16</v>
      </c>
      <c r="H1" s="3" t="s">
        <v>17</v>
      </c>
      <c r="I1" s="3" t="s">
        <v>18</v>
      </c>
      <c r="J1" s="3" t="s">
        <v>19</v>
      </c>
      <c r="K1" s="3" t="s">
        <v>14</v>
      </c>
      <c r="L1" s="3" t="s">
        <v>15</v>
      </c>
    </row>
    <row r="2" spans="1:14" x14ac:dyDescent="0.25">
      <c r="E2" s="7">
        <v>33239</v>
      </c>
      <c r="F2" s="8">
        <f>Data!$B2</f>
        <v>1708.9169999999999</v>
      </c>
      <c r="G2" s="8">
        <v>0.88213890790939331</v>
      </c>
      <c r="H2" s="8">
        <f>F2/G2</f>
        <v>1937.2425189248393</v>
      </c>
      <c r="I2" s="8"/>
      <c r="J2" s="8"/>
      <c r="K2" s="8"/>
      <c r="L2" s="8"/>
      <c r="M2" s="8"/>
      <c r="N2" s="8"/>
    </row>
    <row r="3" spans="1:14" x14ac:dyDescent="0.25">
      <c r="A3" s="5" t="s">
        <v>4</v>
      </c>
      <c r="E3" s="7">
        <v>33270</v>
      </c>
      <c r="F3" s="8">
        <f>Data!$B3</f>
        <v>1620.586</v>
      </c>
      <c r="G3" s="8">
        <v>0.86250799894332886</v>
      </c>
      <c r="H3" s="8">
        <f t="shared" ref="H3:H66" si="0">F3/G3</f>
        <v>1878.9228644666525</v>
      </c>
      <c r="I3" s="8"/>
      <c r="J3" s="8"/>
      <c r="K3" s="8"/>
      <c r="L3" s="8"/>
      <c r="M3" s="8"/>
      <c r="N3" s="8"/>
    </row>
    <row r="4" spans="1:14" x14ac:dyDescent="0.25">
      <c r="E4" s="7">
        <v>33298</v>
      </c>
      <c r="F4" s="8">
        <f>Data!$B4</f>
        <v>1972.7149999999999</v>
      </c>
      <c r="G4" s="8">
        <v>1.0256878137588501</v>
      </c>
      <c r="H4" s="8">
        <f t="shared" si="0"/>
        <v>1923.3093866744582</v>
      </c>
      <c r="I4" s="8"/>
      <c r="J4" s="8"/>
      <c r="K4" s="8"/>
      <c r="L4" s="8"/>
      <c r="M4" s="8"/>
      <c r="N4" s="8"/>
    </row>
    <row r="5" spans="1:14" x14ac:dyDescent="0.25">
      <c r="A5" t="s">
        <v>5</v>
      </c>
      <c r="B5" s="6">
        <v>12</v>
      </c>
      <c r="E5" s="7">
        <v>33329</v>
      </c>
      <c r="F5" s="8">
        <f>Data!$B5</f>
        <v>1811.665</v>
      </c>
      <c r="G5" s="8">
        <v>1.0355126857757568</v>
      </c>
      <c r="H5" s="8">
        <f t="shared" si="0"/>
        <v>1749.5343368418387</v>
      </c>
      <c r="I5" s="8"/>
      <c r="J5" s="8"/>
      <c r="K5" s="8"/>
      <c r="L5" s="8"/>
      <c r="M5" s="8"/>
      <c r="N5" s="8"/>
    </row>
    <row r="6" spans="1:14" x14ac:dyDescent="0.25">
      <c r="E6" s="7">
        <v>33359</v>
      </c>
      <c r="F6" s="8">
        <f>Data!$B6</f>
        <v>1974.9639999999999</v>
      </c>
      <c r="G6" s="8">
        <v>1.0446906089782715</v>
      </c>
      <c r="H6" s="8">
        <f t="shared" si="0"/>
        <v>1890.4774131468021</v>
      </c>
      <c r="I6" s="8"/>
      <c r="J6" s="8"/>
      <c r="K6" s="8"/>
      <c r="L6" s="8"/>
      <c r="M6" s="8"/>
      <c r="N6" s="8"/>
    </row>
    <row r="7" spans="1:14" x14ac:dyDescent="0.25">
      <c r="A7" s="5" t="s">
        <v>6</v>
      </c>
      <c r="E7" s="7">
        <v>33390</v>
      </c>
      <c r="F7" s="8">
        <f>Data!$B7</f>
        <v>1862.356</v>
      </c>
      <c r="G7" s="8">
        <v>1.0266433954238892</v>
      </c>
      <c r="H7" s="8">
        <f t="shared" si="0"/>
        <v>1814.0242349984192</v>
      </c>
      <c r="I7" s="8"/>
      <c r="J7" s="8"/>
      <c r="K7" s="8"/>
      <c r="L7" s="8"/>
      <c r="M7" s="8"/>
      <c r="N7" s="8"/>
    </row>
    <row r="8" spans="1:14" x14ac:dyDescent="0.25">
      <c r="B8" s="3" t="s">
        <v>10</v>
      </c>
      <c r="C8" s="3" t="s">
        <v>11</v>
      </c>
      <c r="E8" s="7">
        <v>33420</v>
      </c>
      <c r="F8" s="8">
        <f>Data!$B8</f>
        <v>1939.86</v>
      </c>
      <c r="G8" s="8">
        <v>1.0838872194290161</v>
      </c>
      <c r="H8" s="8">
        <f t="shared" si="0"/>
        <v>1789.7249503706705</v>
      </c>
      <c r="I8" s="8"/>
      <c r="J8" s="8"/>
      <c r="K8" s="8"/>
      <c r="L8" s="8"/>
      <c r="M8" s="8"/>
      <c r="N8" s="8"/>
    </row>
    <row r="9" spans="1:14" x14ac:dyDescent="0.25">
      <c r="A9" t="s">
        <v>7</v>
      </c>
      <c r="B9" s="9">
        <f t="array" ref="B9">AVERAGE(ABS(StatProForecast1!DeseasError1))</f>
        <v>55.293361727611241</v>
      </c>
      <c r="C9" s="9">
        <f t="array" ref="C9">AVERAGE(ABS(StatProForecast1!Error1))</f>
        <v>55.082357588655235</v>
      </c>
      <c r="E9" s="7">
        <v>33451</v>
      </c>
      <c r="F9" s="8">
        <f>Data!$B9</f>
        <v>2013.2639999999999</v>
      </c>
      <c r="G9" s="8">
        <v>1.1051819324493408</v>
      </c>
      <c r="H9" s="8">
        <f t="shared" si="0"/>
        <v>1821.6584445405631</v>
      </c>
      <c r="I9" s="8"/>
      <c r="J9" s="8"/>
      <c r="K9" s="8"/>
      <c r="L9" s="8"/>
      <c r="M9" s="8"/>
      <c r="N9" s="8"/>
    </row>
    <row r="10" spans="1:14" x14ac:dyDescent="0.25">
      <c r="A10" t="s">
        <v>8</v>
      </c>
      <c r="B10" s="9">
        <f>SQRT(SUMSQ(StatProForecast1!DeseasError1)/COUNT(StatProForecast1!DeseasError1))</f>
        <v>67.140135248117545</v>
      </c>
      <c r="C10" s="9">
        <f>SQRT(SUMSQ(StatProForecast1!Error1)/COUNT(StatProForecast1!Error1))</f>
        <v>67.206745746573915</v>
      </c>
      <c r="E10" s="7">
        <v>33482</v>
      </c>
      <c r="F10" s="8">
        <f>Data!$B10</f>
        <v>1595.6569999999999</v>
      </c>
      <c r="G10" s="8">
        <v>0.92445313930511475</v>
      </c>
      <c r="H10" s="8">
        <f t="shared" si="0"/>
        <v>1726.055039630684</v>
      </c>
      <c r="I10" s="8"/>
      <c r="J10" s="8"/>
      <c r="K10" s="8"/>
      <c r="L10" s="8"/>
      <c r="M10" s="8"/>
      <c r="N10" s="8"/>
    </row>
    <row r="11" spans="1:14" x14ac:dyDescent="0.25">
      <c r="A11" t="s">
        <v>9</v>
      </c>
      <c r="B11" s="10">
        <f t="array" ref="B11">AVERAGE(ABS(StatProForecast1!DeseasError1/StatProForecast1!DeseasObs1))</f>
        <v>3.051356741462825E-2</v>
      </c>
      <c r="C11" s="10">
        <f t="array" ref="C11">AVERAGE(ABS(StatProForecast1!Error1/StatProForecast1!_Obs1))</f>
        <v>3.0513567414628243E-2</v>
      </c>
      <c r="E11" s="7">
        <v>33512</v>
      </c>
      <c r="F11" s="8">
        <f>Data!$B11</f>
        <v>1724.924</v>
      </c>
      <c r="G11" s="8">
        <v>0.99956631660461426</v>
      </c>
      <c r="H11" s="8">
        <f t="shared" si="0"/>
        <v>1725.6723954637882</v>
      </c>
      <c r="I11" s="8"/>
      <c r="J11" s="8"/>
      <c r="K11" s="8"/>
      <c r="L11" s="8"/>
      <c r="M11" s="8"/>
      <c r="N11" s="8"/>
    </row>
    <row r="12" spans="1:14" x14ac:dyDescent="0.25">
      <c r="E12" s="7">
        <v>33543</v>
      </c>
      <c r="F12" s="8">
        <f>Data!$B12</f>
        <v>1675.6669999999999</v>
      </c>
      <c r="G12" s="8">
        <v>0.99299192428588867</v>
      </c>
      <c r="H12" s="8">
        <f t="shared" si="0"/>
        <v>1687.4930792665386</v>
      </c>
      <c r="I12" s="8"/>
      <c r="J12" s="8"/>
      <c r="K12" s="8"/>
      <c r="L12" s="8"/>
      <c r="M12" s="8"/>
      <c r="N12" s="8"/>
    </row>
    <row r="13" spans="1:14" x14ac:dyDescent="0.25">
      <c r="E13" s="7">
        <v>33573</v>
      </c>
      <c r="F13" s="8">
        <f>Data!$B13</f>
        <v>1813.8630000000001</v>
      </c>
      <c r="G13" s="8">
        <v>1.0167368650436401</v>
      </c>
      <c r="H13" s="8">
        <f t="shared" si="0"/>
        <v>1784.0043597928809</v>
      </c>
      <c r="I13" s="8"/>
      <c r="J13" s="8"/>
      <c r="K13" s="8"/>
      <c r="L13" s="8"/>
      <c r="M13" s="8"/>
      <c r="N13" s="8"/>
    </row>
    <row r="14" spans="1:14" x14ac:dyDescent="0.25">
      <c r="E14" s="7">
        <v>33604</v>
      </c>
      <c r="F14" s="8">
        <f>Data!$B14</f>
        <v>1614.827</v>
      </c>
      <c r="G14" s="8">
        <v>0.88213890790939331</v>
      </c>
      <c r="H14" s="8">
        <f t="shared" si="0"/>
        <v>1830.5813126722021</v>
      </c>
      <c r="I14" s="8">
        <f>AVERAGE($H2:$H13)</f>
        <v>1810.676585343178</v>
      </c>
      <c r="J14" s="8">
        <f>H14-I14</f>
        <v>19.904727329024126</v>
      </c>
      <c r="K14" s="8">
        <f>G14*I14</f>
        <v>1597.2682655717404</v>
      </c>
      <c r="L14" s="8">
        <f>F14-K14</f>
        <v>17.55873442825964</v>
      </c>
      <c r="M14" s="8"/>
      <c r="N14" s="8"/>
    </row>
    <row r="15" spans="1:14" x14ac:dyDescent="0.25">
      <c r="E15" s="7">
        <v>33635</v>
      </c>
      <c r="F15" s="8">
        <f>Data!$B15</f>
        <v>1557.088</v>
      </c>
      <c r="G15" s="8">
        <v>0.86250799894332886</v>
      </c>
      <c r="H15" s="8">
        <f t="shared" si="0"/>
        <v>1805.3026776651477</v>
      </c>
      <c r="I15" s="8">
        <f t="shared" ref="I15:I78" si="1">AVERAGE($H3:$H14)</f>
        <v>1801.7881514887915</v>
      </c>
      <c r="J15" s="8">
        <f t="shared" ref="J15:J78" si="2">H15-I15</f>
        <v>3.5145261763561848</v>
      </c>
      <c r="K15" s="8">
        <f t="shared" ref="K15:K78" si="3">G15*I15</f>
        <v>1554.056693060397</v>
      </c>
      <c r="L15" s="8">
        <f t="shared" ref="L15:L78" si="4">F15-K15</f>
        <v>3.0313069396029277</v>
      </c>
      <c r="M15" s="8"/>
      <c r="N15" s="8"/>
    </row>
    <row r="16" spans="1:14" x14ac:dyDescent="0.25">
      <c r="E16" s="7">
        <v>33664</v>
      </c>
      <c r="F16" s="8">
        <f>Data!$B16</f>
        <v>1891.223</v>
      </c>
      <c r="G16" s="8">
        <v>1.0256878137588501</v>
      </c>
      <c r="H16" s="8">
        <f t="shared" si="0"/>
        <v>1843.8583111065861</v>
      </c>
      <c r="I16" s="8">
        <f t="shared" si="1"/>
        <v>1795.6531359219996</v>
      </c>
      <c r="J16" s="8">
        <f t="shared" si="2"/>
        <v>48.205175184586551</v>
      </c>
      <c r="K16" s="8">
        <f t="shared" si="3"/>
        <v>1841.7795392530591</v>
      </c>
      <c r="L16" s="8">
        <f t="shared" si="4"/>
        <v>49.4434607469409</v>
      </c>
      <c r="M16" s="8"/>
      <c r="N16" s="8"/>
    </row>
    <row r="17" spans="5:14" x14ac:dyDescent="0.25">
      <c r="E17" s="7">
        <v>33695</v>
      </c>
      <c r="F17" s="8">
        <f>Data!$B17</f>
        <v>1955.981</v>
      </c>
      <c r="G17" s="8">
        <v>1.0355126857757568</v>
      </c>
      <c r="H17" s="8">
        <f t="shared" si="0"/>
        <v>1888.9010505309957</v>
      </c>
      <c r="I17" s="8">
        <f t="shared" si="1"/>
        <v>1789.0322129580099</v>
      </c>
      <c r="J17" s="8">
        <f t="shared" si="2"/>
        <v>99.86883757298574</v>
      </c>
      <c r="K17" s="8">
        <f t="shared" si="3"/>
        <v>1852.5655517794946</v>
      </c>
      <c r="L17" s="8">
        <f t="shared" si="4"/>
        <v>103.41544822050537</v>
      </c>
      <c r="M17" s="8"/>
      <c r="N17" s="8"/>
    </row>
    <row r="18" spans="5:14" x14ac:dyDescent="0.25">
      <c r="E18" s="7">
        <v>33725</v>
      </c>
      <c r="F18" s="8">
        <f>Data!$B18</f>
        <v>1884.7139999999999</v>
      </c>
      <c r="G18" s="8">
        <v>1.0446906089782715</v>
      </c>
      <c r="H18" s="8">
        <f t="shared" si="0"/>
        <v>1804.0881997046843</v>
      </c>
      <c r="I18" s="8">
        <f t="shared" si="1"/>
        <v>1800.6461057654399</v>
      </c>
      <c r="J18" s="8">
        <f t="shared" si="2"/>
        <v>3.442093939244387</v>
      </c>
      <c r="K18" s="8">
        <f t="shared" si="3"/>
        <v>1881.1180767864505</v>
      </c>
      <c r="L18" s="8">
        <f t="shared" si="4"/>
        <v>3.5959232135494403</v>
      </c>
      <c r="M18" s="8"/>
      <c r="N18" s="8"/>
    </row>
    <row r="19" spans="5:14" x14ac:dyDescent="0.25">
      <c r="E19" s="7">
        <v>33756</v>
      </c>
      <c r="F19" s="8">
        <f>Data!$B19</f>
        <v>1623.0419999999999</v>
      </c>
      <c r="G19" s="8">
        <v>1.0266433954238892</v>
      </c>
      <c r="H19" s="8">
        <f t="shared" si="0"/>
        <v>1580.9208993448642</v>
      </c>
      <c r="I19" s="8">
        <f t="shared" si="1"/>
        <v>1793.4470046452634</v>
      </c>
      <c r="J19" s="8">
        <f t="shared" si="2"/>
        <v>-212.52610530039919</v>
      </c>
      <c r="K19" s="8">
        <f t="shared" si="3"/>
        <v>1841.2305223618168</v>
      </c>
      <c r="L19" s="8">
        <f t="shared" si="4"/>
        <v>-218.18852236181692</v>
      </c>
      <c r="M19" s="8"/>
      <c r="N19" s="8"/>
    </row>
    <row r="20" spans="5:14" x14ac:dyDescent="0.25">
      <c r="E20" s="7">
        <v>33786</v>
      </c>
      <c r="F20" s="8">
        <f>Data!$B20</f>
        <v>1903.309</v>
      </c>
      <c r="G20" s="8">
        <v>1.0838872194290161</v>
      </c>
      <c r="H20" s="8">
        <f t="shared" si="0"/>
        <v>1756.0028071948752</v>
      </c>
      <c r="I20" s="8">
        <f t="shared" si="1"/>
        <v>1774.0217266741338</v>
      </c>
      <c r="J20" s="8">
        <f t="shared" si="2"/>
        <v>-18.018919479258557</v>
      </c>
      <c r="K20" s="8">
        <f t="shared" si="3"/>
        <v>1922.8394765314888</v>
      </c>
      <c r="L20" s="8">
        <f t="shared" si="4"/>
        <v>-19.53047653148883</v>
      </c>
      <c r="M20" s="8"/>
      <c r="N20" s="8"/>
    </row>
    <row r="21" spans="5:14" x14ac:dyDescent="0.25">
      <c r="E21" s="7">
        <v>33817</v>
      </c>
      <c r="F21" s="8">
        <f>Data!$B21</f>
        <v>1996.712</v>
      </c>
      <c r="G21" s="8">
        <v>1.1051819324493408</v>
      </c>
      <c r="H21" s="8">
        <f t="shared" si="0"/>
        <v>1806.6817248584771</v>
      </c>
      <c r="I21" s="8">
        <f t="shared" si="1"/>
        <v>1771.2115480761511</v>
      </c>
      <c r="J21" s="8">
        <f t="shared" si="2"/>
        <v>35.470176782326007</v>
      </c>
      <c r="K21" s="8">
        <f t="shared" si="3"/>
        <v>1957.5110014793893</v>
      </c>
      <c r="L21" s="8">
        <f t="shared" si="4"/>
        <v>39.20099852061071</v>
      </c>
      <c r="M21" s="8"/>
      <c r="N21" s="8"/>
    </row>
    <row r="22" spans="5:14" x14ac:dyDescent="0.25">
      <c r="E22" s="7">
        <v>33848</v>
      </c>
      <c r="F22" s="8">
        <f>Data!$B22</f>
        <v>1703.8969999999999</v>
      </c>
      <c r="G22" s="8">
        <v>0.92445313930511475</v>
      </c>
      <c r="H22" s="8">
        <f t="shared" si="0"/>
        <v>1843.1404768453392</v>
      </c>
      <c r="I22" s="8">
        <f t="shared" si="1"/>
        <v>1769.9634881026439</v>
      </c>
      <c r="J22" s="8">
        <f t="shared" si="2"/>
        <v>73.176988742695357</v>
      </c>
      <c r="K22" s="8">
        <f t="shared" si="3"/>
        <v>1636.2483030319202</v>
      </c>
      <c r="L22" s="8">
        <f t="shared" si="4"/>
        <v>67.648696968079776</v>
      </c>
      <c r="M22" s="8"/>
      <c r="N22" s="8"/>
    </row>
    <row r="23" spans="5:14" x14ac:dyDescent="0.25">
      <c r="E23" s="7">
        <v>33878</v>
      </c>
      <c r="F23" s="8">
        <f>Data!$B23</f>
        <v>1810</v>
      </c>
      <c r="G23" s="8">
        <v>0.99956631660461426</v>
      </c>
      <c r="H23" s="8">
        <f t="shared" si="0"/>
        <v>1810.78530752048</v>
      </c>
      <c r="I23" s="8">
        <f t="shared" si="1"/>
        <v>1779.7206078705319</v>
      </c>
      <c r="J23" s="8">
        <f t="shared" si="2"/>
        <v>31.064699649948125</v>
      </c>
      <c r="K23" s="8">
        <f t="shared" si="3"/>
        <v>1778.9487725944728</v>
      </c>
      <c r="L23" s="8">
        <f t="shared" si="4"/>
        <v>31.051227405527243</v>
      </c>
      <c r="M23" s="8"/>
      <c r="N23" s="8"/>
    </row>
    <row r="24" spans="5:14" x14ac:dyDescent="0.25">
      <c r="E24" s="7">
        <v>33909</v>
      </c>
      <c r="F24" s="8">
        <f>Data!$B24</f>
        <v>1861.6010000000001</v>
      </c>
      <c r="G24" s="8">
        <v>0.99299192428588867</v>
      </c>
      <c r="H24" s="8">
        <f t="shared" si="0"/>
        <v>1874.7393150641913</v>
      </c>
      <c r="I24" s="8">
        <f t="shared" si="1"/>
        <v>1786.8133505419225</v>
      </c>
      <c r="J24" s="8">
        <f t="shared" si="2"/>
        <v>87.925964522268714</v>
      </c>
      <c r="K24" s="8">
        <f t="shared" si="3"/>
        <v>1774.2912272943397</v>
      </c>
      <c r="L24" s="8">
        <f t="shared" si="4"/>
        <v>87.309772705660407</v>
      </c>
      <c r="M24" s="8"/>
      <c r="N24" s="8"/>
    </row>
    <row r="25" spans="5:14" x14ac:dyDescent="0.25">
      <c r="E25" s="7">
        <v>33939</v>
      </c>
      <c r="F25" s="8">
        <f>Data!$B25</f>
        <v>1875.1220000000001</v>
      </c>
      <c r="G25" s="8">
        <v>1.0167368650436401</v>
      </c>
      <c r="H25" s="8">
        <f t="shared" si="0"/>
        <v>1844.2549537333011</v>
      </c>
      <c r="I25" s="8">
        <f t="shared" si="1"/>
        <v>1802.4172035250604</v>
      </c>
      <c r="J25" s="8">
        <f t="shared" si="2"/>
        <v>41.837750208240777</v>
      </c>
      <c r="K25" s="8">
        <f t="shared" si="3"/>
        <v>1832.5840170127944</v>
      </c>
      <c r="L25" s="8">
        <f t="shared" si="4"/>
        <v>42.537982987205623</v>
      </c>
      <c r="M25" s="8"/>
      <c r="N25" s="8"/>
    </row>
    <row r="26" spans="5:14" x14ac:dyDescent="0.25">
      <c r="E26" s="7">
        <v>33970</v>
      </c>
      <c r="F26" s="8">
        <f>Data!$B26</f>
        <v>1705.259</v>
      </c>
      <c r="G26" s="8">
        <v>0.88213890790939331</v>
      </c>
      <c r="H26" s="8">
        <f t="shared" si="0"/>
        <v>1933.0957797126794</v>
      </c>
      <c r="I26" s="8">
        <f t="shared" si="1"/>
        <v>1807.4380863534286</v>
      </c>
      <c r="J26" s="8">
        <f t="shared" si="2"/>
        <v>125.65769335925074</v>
      </c>
      <c r="K26" s="8">
        <f t="shared" si="3"/>
        <v>1594.4114596096572</v>
      </c>
      <c r="L26" s="8">
        <f t="shared" si="4"/>
        <v>110.84754039034283</v>
      </c>
      <c r="M26" s="8"/>
      <c r="N26" s="8"/>
    </row>
    <row r="27" spans="5:14" x14ac:dyDescent="0.25">
      <c r="E27" s="7">
        <v>34001</v>
      </c>
      <c r="F27" s="8">
        <f>Data!$B27</f>
        <v>1618.5350000000001</v>
      </c>
      <c r="G27" s="8">
        <v>0.86250799894332886</v>
      </c>
      <c r="H27" s="8">
        <f t="shared" si="0"/>
        <v>1876.5449155055849</v>
      </c>
      <c r="I27" s="8">
        <f t="shared" si="1"/>
        <v>1815.9809586068016</v>
      </c>
      <c r="J27" s="8">
        <f t="shared" si="2"/>
        <v>60.563956898783317</v>
      </c>
      <c r="K27" s="8">
        <f t="shared" si="3"/>
        <v>1566.2981027271405</v>
      </c>
      <c r="L27" s="8">
        <f t="shared" si="4"/>
        <v>52.236897272859551</v>
      </c>
      <c r="M27" s="8"/>
      <c r="N27" s="8"/>
    </row>
    <row r="28" spans="5:14" x14ac:dyDescent="0.25">
      <c r="E28" s="7">
        <v>34029</v>
      </c>
      <c r="F28" s="8">
        <f>Data!$B28</f>
        <v>1836.7090000000001</v>
      </c>
      <c r="G28" s="8">
        <v>1.0256878137588501</v>
      </c>
      <c r="H28" s="8">
        <f t="shared" si="0"/>
        <v>1790.7095856671936</v>
      </c>
      <c r="I28" s="8">
        <f t="shared" si="1"/>
        <v>1821.9178117601714</v>
      </c>
      <c r="J28" s="8">
        <f t="shared" si="2"/>
        <v>-31.208226092977839</v>
      </c>
      <c r="K28" s="8">
        <f t="shared" si="3"/>
        <v>1868.7188971925984</v>
      </c>
      <c r="L28" s="8">
        <f t="shared" si="4"/>
        <v>-32.009897192598373</v>
      </c>
      <c r="M28" s="8"/>
      <c r="N28" s="8"/>
    </row>
    <row r="29" spans="5:14" x14ac:dyDescent="0.25">
      <c r="E29" s="7">
        <v>34060</v>
      </c>
      <c r="F29" s="8">
        <f>Data!$B29</f>
        <v>1957.0429999999999</v>
      </c>
      <c r="G29" s="8">
        <v>1.0355126857757568</v>
      </c>
      <c r="H29" s="8">
        <f t="shared" si="0"/>
        <v>1889.9266294684517</v>
      </c>
      <c r="I29" s="8">
        <f t="shared" si="1"/>
        <v>1817.4887513068891</v>
      </c>
      <c r="J29" s="8">
        <f t="shared" si="2"/>
        <v>72.437878161562594</v>
      </c>
      <c r="K29" s="8">
        <f t="shared" si="3"/>
        <v>1882.0326582330233</v>
      </c>
      <c r="L29" s="8">
        <f t="shared" si="4"/>
        <v>75.01034176697658</v>
      </c>
      <c r="M29" s="8"/>
      <c r="N29" s="8"/>
    </row>
    <row r="30" spans="5:14" x14ac:dyDescent="0.25">
      <c r="E30" s="7">
        <v>34090</v>
      </c>
      <c r="F30" s="8">
        <f>Data!$B30</f>
        <v>1917.1849999999999</v>
      </c>
      <c r="G30" s="8">
        <v>1.0446906089782715</v>
      </c>
      <c r="H30" s="8">
        <f t="shared" si="0"/>
        <v>1835.1701293410167</v>
      </c>
      <c r="I30" s="8">
        <f t="shared" si="1"/>
        <v>1817.5742162183435</v>
      </c>
      <c r="J30" s="8">
        <f t="shared" si="2"/>
        <v>17.59591312267321</v>
      </c>
      <c r="K30" s="8">
        <f t="shared" si="3"/>
        <v>1898.8027148043457</v>
      </c>
      <c r="L30" s="8">
        <f t="shared" si="4"/>
        <v>18.382285195654276</v>
      </c>
      <c r="M30" s="8"/>
      <c r="N30" s="8"/>
    </row>
    <row r="31" spans="5:14" x14ac:dyDescent="0.25">
      <c r="E31" s="7">
        <v>34121</v>
      </c>
      <c r="F31" s="8">
        <f>Data!$B31</f>
        <v>1882.3979999999999</v>
      </c>
      <c r="G31" s="8">
        <v>1.0266433954238892</v>
      </c>
      <c r="H31" s="8">
        <f t="shared" si="0"/>
        <v>1833.5461060680955</v>
      </c>
      <c r="I31" s="8">
        <f t="shared" si="1"/>
        <v>1820.1643770213714</v>
      </c>
      <c r="J31" s="8">
        <f t="shared" si="2"/>
        <v>13.381729046724104</v>
      </c>
      <c r="K31" s="8">
        <f t="shared" si="3"/>
        <v>1868.6597362548287</v>
      </c>
      <c r="L31" s="8">
        <f t="shared" si="4"/>
        <v>13.738263745171253</v>
      </c>
      <c r="M31" s="8"/>
      <c r="N31" s="8"/>
    </row>
    <row r="32" spans="5:14" x14ac:dyDescent="0.25">
      <c r="E32" s="7">
        <v>34151</v>
      </c>
      <c r="F32" s="8">
        <f>Data!$B32</f>
        <v>1933.009</v>
      </c>
      <c r="G32" s="8">
        <v>1.0838872194290161</v>
      </c>
      <c r="H32" s="8">
        <f t="shared" si="0"/>
        <v>1783.4041820497662</v>
      </c>
      <c r="I32" s="8">
        <f t="shared" si="1"/>
        <v>1841.2164775816407</v>
      </c>
      <c r="J32" s="8">
        <f t="shared" si="2"/>
        <v>-57.812295531874497</v>
      </c>
      <c r="K32" s="8">
        <f t="shared" si="3"/>
        <v>1995.6710082528518</v>
      </c>
      <c r="L32" s="8">
        <f t="shared" si="4"/>
        <v>-62.66200825285182</v>
      </c>
      <c r="M32" s="8"/>
      <c r="N32" s="8"/>
    </row>
    <row r="33" spans="5:14" x14ac:dyDescent="0.25">
      <c r="E33" s="7">
        <v>34182</v>
      </c>
      <c r="F33" s="8">
        <f>Data!$B33</f>
        <v>1996.1669999999999</v>
      </c>
      <c r="G33" s="8">
        <v>1.1051819324493408</v>
      </c>
      <c r="H33" s="8">
        <f t="shared" si="0"/>
        <v>1806.188593380303</v>
      </c>
      <c r="I33" s="8">
        <f t="shared" si="1"/>
        <v>1843.4999254862148</v>
      </c>
      <c r="J33" s="8">
        <f t="shared" si="2"/>
        <v>-37.311332105911788</v>
      </c>
      <c r="K33" s="8">
        <f t="shared" si="3"/>
        <v>2037.4028101190706</v>
      </c>
      <c r="L33" s="8">
        <f t="shared" si="4"/>
        <v>-41.23581011907072</v>
      </c>
      <c r="M33" s="8"/>
      <c r="N33" s="8"/>
    </row>
    <row r="34" spans="5:14" x14ac:dyDescent="0.25">
      <c r="E34" s="7">
        <v>34213</v>
      </c>
      <c r="F34" s="8">
        <f>Data!$B34</f>
        <v>1672.8409999999999</v>
      </c>
      <c r="G34" s="8">
        <v>0.92445313930511475</v>
      </c>
      <c r="H34" s="8">
        <f t="shared" si="0"/>
        <v>1809.5465620436175</v>
      </c>
      <c r="I34" s="8">
        <f t="shared" si="1"/>
        <v>1843.4588311963669</v>
      </c>
      <c r="J34" s="8">
        <f t="shared" si="2"/>
        <v>-33.912269152749332</v>
      </c>
      <c r="K34" s="8">
        <f t="shared" si="3"/>
        <v>1704.1913036792189</v>
      </c>
      <c r="L34" s="8">
        <f t="shared" si="4"/>
        <v>-31.350303679218996</v>
      </c>
      <c r="M34" s="8"/>
      <c r="N34" s="8"/>
    </row>
    <row r="35" spans="5:14" x14ac:dyDescent="0.25">
      <c r="E35" s="7">
        <v>34243</v>
      </c>
      <c r="F35" s="8">
        <f>Data!$B35</f>
        <v>1752.827</v>
      </c>
      <c r="G35" s="8">
        <v>0.99956631660461426</v>
      </c>
      <c r="H35" s="8">
        <f t="shared" si="0"/>
        <v>1753.5875017818787</v>
      </c>
      <c r="I35" s="8">
        <f t="shared" si="1"/>
        <v>1840.6593382962235</v>
      </c>
      <c r="J35" s="8">
        <f t="shared" si="2"/>
        <v>-87.071836514344795</v>
      </c>
      <c r="K35" s="8">
        <f t="shared" si="3"/>
        <v>1839.8610749046427</v>
      </c>
      <c r="L35" s="8">
        <f t="shared" si="4"/>
        <v>-87.034074904642694</v>
      </c>
      <c r="M35" s="8"/>
      <c r="N35" s="8"/>
    </row>
    <row r="36" spans="5:14" x14ac:dyDescent="0.25">
      <c r="E36" s="7">
        <v>34274</v>
      </c>
      <c r="F36" s="8">
        <f>Data!$B36</f>
        <v>1720.377</v>
      </c>
      <c r="G36" s="8">
        <v>0.99299192428588867</v>
      </c>
      <c r="H36" s="8">
        <f t="shared" si="0"/>
        <v>1732.5186216768188</v>
      </c>
      <c r="I36" s="8">
        <f t="shared" si="1"/>
        <v>1835.8928544846733</v>
      </c>
      <c r="J36" s="8">
        <f t="shared" si="2"/>
        <v>-103.37423280785447</v>
      </c>
      <c r="K36" s="8">
        <f t="shared" si="3"/>
        <v>1823.0267783574488</v>
      </c>
      <c r="L36" s="8">
        <f t="shared" si="4"/>
        <v>-102.64977835744889</v>
      </c>
      <c r="M36" s="8"/>
      <c r="N36" s="8"/>
    </row>
    <row r="37" spans="5:14" x14ac:dyDescent="0.25">
      <c r="E37" s="7">
        <v>34304</v>
      </c>
      <c r="F37" s="8">
        <f>Data!$B37</f>
        <v>1734.2919999999999</v>
      </c>
      <c r="G37" s="8">
        <v>1.0167368650436401</v>
      </c>
      <c r="H37" s="8">
        <f t="shared" si="0"/>
        <v>1705.7432061594038</v>
      </c>
      <c r="I37" s="8">
        <f t="shared" si="1"/>
        <v>1824.0411300357257</v>
      </c>
      <c r="J37" s="8">
        <f t="shared" si="2"/>
        <v>-118.29792387632187</v>
      </c>
      <c r="K37" s="8">
        <f t="shared" si="3"/>
        <v>1854.5698602631826</v>
      </c>
      <c r="L37" s="8">
        <f t="shared" si="4"/>
        <v>-120.27786026318267</v>
      </c>
      <c r="M37" s="8"/>
      <c r="N37" s="8"/>
    </row>
    <row r="38" spans="5:14" x14ac:dyDescent="0.25">
      <c r="E38" s="7">
        <v>34335</v>
      </c>
      <c r="F38" s="8">
        <f>Data!$B38</f>
        <v>1563.365</v>
      </c>
      <c r="G38" s="8">
        <v>0.88213890790939331</v>
      </c>
      <c r="H38" s="8">
        <f t="shared" si="0"/>
        <v>1772.2435616234911</v>
      </c>
      <c r="I38" s="8">
        <f t="shared" si="1"/>
        <v>1812.4984844045675</v>
      </c>
      <c r="J38" s="8">
        <f t="shared" si="2"/>
        <v>-40.254922781076402</v>
      </c>
      <c r="K38" s="8">
        <f t="shared" si="3"/>
        <v>1598.8754336200757</v>
      </c>
      <c r="L38" s="8">
        <f t="shared" si="4"/>
        <v>-35.510433620075673</v>
      </c>
      <c r="M38" s="8"/>
      <c r="N38" s="8"/>
    </row>
    <row r="39" spans="5:14" x14ac:dyDescent="0.25">
      <c r="E39" s="7">
        <v>34366</v>
      </c>
      <c r="F39" s="8">
        <f>Data!$B39</f>
        <v>1573.9590000000001</v>
      </c>
      <c r="G39" s="8">
        <v>0.86250799894332886</v>
      </c>
      <c r="H39" s="8">
        <f t="shared" si="0"/>
        <v>1824.8630759694754</v>
      </c>
      <c r="I39" s="8">
        <f t="shared" si="1"/>
        <v>1799.0941328971351</v>
      </c>
      <c r="J39" s="8">
        <f t="shared" si="2"/>
        <v>25.768943072340335</v>
      </c>
      <c r="K39" s="8">
        <f t="shared" si="3"/>
        <v>1551.7330804757912</v>
      </c>
      <c r="L39" s="8">
        <f t="shared" si="4"/>
        <v>22.225919524208848</v>
      </c>
      <c r="M39" s="8"/>
      <c r="N39" s="8"/>
    </row>
    <row r="40" spans="5:14" x14ac:dyDescent="0.25">
      <c r="E40" s="7">
        <v>34394</v>
      </c>
      <c r="F40" s="8">
        <f>Data!$B40</f>
        <v>1902.6389999999999</v>
      </c>
      <c r="G40" s="8">
        <v>1.0256878137588501</v>
      </c>
      <c r="H40" s="8">
        <f t="shared" si="0"/>
        <v>1854.9884033694195</v>
      </c>
      <c r="I40" s="8">
        <f t="shared" si="1"/>
        <v>1794.7873129357924</v>
      </c>
      <c r="J40" s="8">
        <f t="shared" si="2"/>
        <v>60.201090433627087</v>
      </c>
      <c r="K40" s="8">
        <f t="shared" si="3"/>
        <v>1840.8914751672341</v>
      </c>
      <c r="L40" s="8">
        <f t="shared" si="4"/>
        <v>61.747524832765748</v>
      </c>
      <c r="M40" s="8"/>
      <c r="N40" s="8"/>
    </row>
    <row r="41" spans="5:14" x14ac:dyDescent="0.25">
      <c r="E41" s="7">
        <v>34425</v>
      </c>
      <c r="F41" s="8">
        <f>Data!$B41</f>
        <v>1833.8879999999999</v>
      </c>
      <c r="G41" s="8">
        <v>1.0355126857757568</v>
      </c>
      <c r="H41" s="8">
        <f t="shared" si="0"/>
        <v>1770.9952038164924</v>
      </c>
      <c r="I41" s="8">
        <f t="shared" si="1"/>
        <v>1800.1438810776444</v>
      </c>
      <c r="J41" s="8">
        <f t="shared" si="2"/>
        <v>-29.148677261151988</v>
      </c>
      <c r="K41" s="8">
        <f t="shared" si="3"/>
        <v>1864.0718250775062</v>
      </c>
      <c r="L41" s="8">
        <f t="shared" si="4"/>
        <v>-30.183825077506299</v>
      </c>
      <c r="M41" s="8"/>
      <c r="N41" s="8"/>
    </row>
    <row r="42" spans="5:14" x14ac:dyDescent="0.25">
      <c r="E42" s="7">
        <v>34455</v>
      </c>
      <c r="F42" s="8">
        <f>Data!$B42</f>
        <v>1831.049</v>
      </c>
      <c r="G42" s="8">
        <v>1.0446906089782715</v>
      </c>
      <c r="H42" s="8">
        <f t="shared" si="0"/>
        <v>1752.7189239221773</v>
      </c>
      <c r="I42" s="8">
        <f t="shared" si="1"/>
        <v>1790.2329289399813</v>
      </c>
      <c r="J42" s="8">
        <f t="shared" si="2"/>
        <v>-37.514005017804038</v>
      </c>
      <c r="K42" s="8">
        <f t="shared" si="3"/>
        <v>1870.2395287472636</v>
      </c>
      <c r="L42" s="8">
        <f t="shared" si="4"/>
        <v>-39.19052874726367</v>
      </c>
      <c r="M42" s="8"/>
      <c r="N42" s="8"/>
    </row>
    <row r="43" spans="5:14" x14ac:dyDescent="0.25">
      <c r="E43" s="7">
        <v>34486</v>
      </c>
      <c r="F43" s="8">
        <f>Data!$B43</f>
        <v>1775.7550000000001</v>
      </c>
      <c r="G43" s="8">
        <v>1.0266433954238892</v>
      </c>
      <c r="H43" s="8">
        <f t="shared" si="0"/>
        <v>1729.6706995975087</v>
      </c>
      <c r="I43" s="8">
        <f t="shared" si="1"/>
        <v>1783.3619951550781</v>
      </c>
      <c r="J43" s="8">
        <f t="shared" si="2"/>
        <v>-53.691295557569447</v>
      </c>
      <c r="K43" s="8">
        <f t="shared" si="3"/>
        <v>1830.8768139759309</v>
      </c>
      <c r="L43" s="8">
        <f t="shared" si="4"/>
        <v>-55.121813975930763</v>
      </c>
      <c r="M43" s="8"/>
      <c r="N43" s="8"/>
    </row>
    <row r="44" spans="5:14" x14ac:dyDescent="0.25">
      <c r="E44" s="7">
        <v>34516</v>
      </c>
      <c r="F44" s="8">
        <f>Data!$B44</f>
        <v>1867.508</v>
      </c>
      <c r="G44" s="8">
        <v>1.0838872194290161</v>
      </c>
      <c r="H44" s="8">
        <f t="shared" si="0"/>
        <v>1722.9726179295569</v>
      </c>
      <c r="I44" s="8">
        <f t="shared" si="1"/>
        <v>1774.7057112825294</v>
      </c>
      <c r="J44" s="8">
        <f t="shared" si="2"/>
        <v>-51.733093352972446</v>
      </c>
      <c r="K44" s="8">
        <f t="shared" si="3"/>
        <v>1923.580838706815</v>
      </c>
      <c r="L44" s="8">
        <f t="shared" si="4"/>
        <v>-56.072838706814991</v>
      </c>
      <c r="M44" s="8"/>
      <c r="N44" s="8"/>
    </row>
    <row r="45" spans="5:14" x14ac:dyDescent="0.25">
      <c r="E45" s="7">
        <v>34547</v>
      </c>
      <c r="F45" s="8">
        <f>Data!$B45</f>
        <v>1906.6079999999999</v>
      </c>
      <c r="G45" s="8">
        <v>1.1051819324493408</v>
      </c>
      <c r="H45" s="8">
        <f t="shared" si="0"/>
        <v>1725.1530666761012</v>
      </c>
      <c r="I45" s="8">
        <f t="shared" si="1"/>
        <v>1769.6697476058453</v>
      </c>
      <c r="J45" s="8">
        <f t="shared" si="2"/>
        <v>-44.516680929744098</v>
      </c>
      <c r="K45" s="8">
        <f t="shared" si="3"/>
        <v>1955.8070314561653</v>
      </c>
      <c r="L45" s="8">
        <f t="shared" si="4"/>
        <v>-49.199031456165358</v>
      </c>
      <c r="M45" s="8"/>
      <c r="N45" s="8"/>
    </row>
    <row r="46" spans="5:14" x14ac:dyDescent="0.25">
      <c r="E46" s="7">
        <v>34578</v>
      </c>
      <c r="F46" s="8">
        <f>Data!$B46</f>
        <v>1685.6320000000001</v>
      </c>
      <c r="G46" s="8">
        <v>0.92445313930511475</v>
      </c>
      <c r="H46" s="8">
        <f t="shared" si="0"/>
        <v>1823.3828501756639</v>
      </c>
      <c r="I46" s="8">
        <f t="shared" si="1"/>
        <v>1762.916787047162</v>
      </c>
      <c r="J46" s="8">
        <f t="shared" si="2"/>
        <v>60.466063128501901</v>
      </c>
      <c r="K46" s="8">
        <f t="shared" si="3"/>
        <v>1629.7339581194353</v>
      </c>
      <c r="L46" s="8">
        <f t="shared" si="4"/>
        <v>55.898041880564733</v>
      </c>
      <c r="M46" s="8"/>
      <c r="N46" s="8"/>
    </row>
    <row r="47" spans="5:14" x14ac:dyDescent="0.25">
      <c r="E47" s="7">
        <v>34608</v>
      </c>
      <c r="F47" s="8">
        <f>Data!$B47</f>
        <v>1778.546</v>
      </c>
      <c r="G47" s="8">
        <v>0.99956631660461426</v>
      </c>
      <c r="H47" s="8">
        <f t="shared" si="0"/>
        <v>1779.3176605244862</v>
      </c>
      <c r="I47" s="8">
        <f t="shared" si="1"/>
        <v>1764.0698110581659</v>
      </c>
      <c r="J47" s="8">
        <f t="shared" si="2"/>
        <v>15.247849466320304</v>
      </c>
      <c r="K47" s="8">
        <f t="shared" si="3"/>
        <v>1763.3047632728087</v>
      </c>
      <c r="L47" s="8">
        <f t="shared" si="4"/>
        <v>15.241236727191335</v>
      </c>
      <c r="M47" s="8"/>
      <c r="N47" s="8"/>
    </row>
    <row r="48" spans="5:14" x14ac:dyDescent="0.25">
      <c r="E48" s="7">
        <v>34639</v>
      </c>
      <c r="F48" s="8">
        <f>Data!$B48</f>
        <v>1775.9949999999999</v>
      </c>
      <c r="G48" s="8">
        <v>0.99299192428588867</v>
      </c>
      <c r="H48" s="8">
        <f t="shared" si="0"/>
        <v>1788.5291476838634</v>
      </c>
      <c r="I48" s="8">
        <f t="shared" si="1"/>
        <v>1766.2139909533828</v>
      </c>
      <c r="J48" s="8">
        <f t="shared" si="2"/>
        <v>22.315156730480567</v>
      </c>
      <c r="K48" s="8">
        <f t="shared" si="3"/>
        <v>1753.8362295774587</v>
      </c>
      <c r="L48" s="8">
        <f t="shared" si="4"/>
        <v>22.158770422541238</v>
      </c>
      <c r="M48" s="8"/>
      <c r="N48" s="8"/>
    </row>
    <row r="49" spans="5:14" x14ac:dyDescent="0.25">
      <c r="E49" s="7">
        <v>34669</v>
      </c>
      <c r="F49" s="8">
        <f>Data!$B49</f>
        <v>1783.35</v>
      </c>
      <c r="G49" s="8">
        <v>1.0167368650436401</v>
      </c>
      <c r="H49" s="8">
        <f t="shared" si="0"/>
        <v>1753.9936450749776</v>
      </c>
      <c r="I49" s="8">
        <f t="shared" si="1"/>
        <v>1770.8815347873033</v>
      </c>
      <c r="J49" s="8">
        <f t="shared" si="2"/>
        <v>-16.887889712325659</v>
      </c>
      <c r="K49" s="8">
        <f t="shared" si="3"/>
        <v>1800.5205400433126</v>
      </c>
      <c r="L49" s="8">
        <f t="shared" si="4"/>
        <v>-17.170540043312712</v>
      </c>
      <c r="M49" s="8"/>
      <c r="N49" s="8"/>
    </row>
    <row r="50" spans="5:14" x14ac:dyDescent="0.25">
      <c r="E50" s="7">
        <v>34700</v>
      </c>
      <c r="F50" s="8">
        <f>Data!$B50</f>
        <v>1548.415</v>
      </c>
      <c r="G50" s="8">
        <v>0.88213890790939331</v>
      </c>
      <c r="H50" s="8">
        <f t="shared" si="0"/>
        <v>1755.2961173310377</v>
      </c>
      <c r="I50" s="8">
        <f t="shared" si="1"/>
        <v>1774.9024046969346</v>
      </c>
      <c r="J50" s="8">
        <f t="shared" si="2"/>
        <v>-19.606287365896833</v>
      </c>
      <c r="K50" s="8">
        <f t="shared" si="3"/>
        <v>1565.7104689251098</v>
      </c>
      <c r="L50" s="8">
        <f t="shared" si="4"/>
        <v>-17.295468925109844</v>
      </c>
      <c r="M50" s="8"/>
      <c r="N50" s="8"/>
    </row>
    <row r="51" spans="5:14" x14ac:dyDescent="0.25">
      <c r="E51" s="7">
        <v>34731</v>
      </c>
      <c r="F51" s="8">
        <f>Data!$B51</f>
        <v>1496.925</v>
      </c>
      <c r="G51" s="8">
        <v>0.86250799894332886</v>
      </c>
      <c r="H51" s="8">
        <f t="shared" si="0"/>
        <v>1735.549121670645</v>
      </c>
      <c r="I51" s="8">
        <f t="shared" si="1"/>
        <v>1773.4901176725634</v>
      </c>
      <c r="J51" s="8">
        <f t="shared" si="2"/>
        <v>-37.940996001918393</v>
      </c>
      <c r="K51" s="8">
        <f t="shared" si="3"/>
        <v>1529.6494125395316</v>
      </c>
      <c r="L51" s="8">
        <f t="shared" si="4"/>
        <v>-32.724412539531613</v>
      </c>
      <c r="M51" s="8"/>
      <c r="N51" s="8"/>
    </row>
    <row r="52" spans="5:14" x14ac:dyDescent="0.25">
      <c r="E52" s="7">
        <v>34759</v>
      </c>
      <c r="F52" s="8">
        <f>Data!$B52</f>
        <v>1798.316</v>
      </c>
      <c r="G52" s="8">
        <v>1.0256878137588501</v>
      </c>
      <c r="H52" s="8">
        <f t="shared" si="0"/>
        <v>1753.2781182314045</v>
      </c>
      <c r="I52" s="8">
        <f t="shared" si="1"/>
        <v>1766.0472881476605</v>
      </c>
      <c r="J52" s="8">
        <f t="shared" si="2"/>
        <v>-12.769169916256033</v>
      </c>
      <c r="K52" s="8">
        <f t="shared" si="3"/>
        <v>1811.41318197492</v>
      </c>
      <c r="L52" s="8">
        <f t="shared" si="4"/>
        <v>-13.097181974919977</v>
      </c>
      <c r="M52" s="8"/>
      <c r="N52" s="8"/>
    </row>
    <row r="53" spans="5:14" x14ac:dyDescent="0.25">
      <c r="E53" s="7">
        <v>34790</v>
      </c>
      <c r="F53" s="8">
        <f>Data!$B53</f>
        <v>1732.895</v>
      </c>
      <c r="G53" s="8">
        <v>1.0355126857757568</v>
      </c>
      <c r="H53" s="8">
        <f t="shared" si="0"/>
        <v>1673.4657371211222</v>
      </c>
      <c r="I53" s="8">
        <f t="shared" si="1"/>
        <v>1757.5714310528258</v>
      </c>
      <c r="J53" s="8">
        <f t="shared" si="2"/>
        <v>-84.105693931703627</v>
      </c>
      <c r="K53" s="8">
        <f t="shared" si="3"/>
        <v>1819.9875130122521</v>
      </c>
      <c r="L53" s="8">
        <f t="shared" si="4"/>
        <v>-87.092513012252084</v>
      </c>
      <c r="M53" s="8"/>
      <c r="N53" s="8"/>
    </row>
    <row r="54" spans="5:14" x14ac:dyDescent="0.25">
      <c r="E54" s="7">
        <v>34820</v>
      </c>
      <c r="F54" s="8">
        <f>Data!$B54</f>
        <v>1772.345</v>
      </c>
      <c r="G54" s="8">
        <v>1.0446906089782715</v>
      </c>
      <c r="H54" s="8">
        <f t="shared" si="0"/>
        <v>1696.5262105049353</v>
      </c>
      <c r="I54" s="8">
        <f t="shared" si="1"/>
        <v>1749.4439754948783</v>
      </c>
      <c r="J54" s="8">
        <f t="shared" si="2"/>
        <v>-52.917764989942953</v>
      </c>
      <c r="K54" s="8">
        <f t="shared" si="3"/>
        <v>1827.6276921331125</v>
      </c>
      <c r="L54" s="8">
        <f t="shared" si="4"/>
        <v>-55.282692133112505</v>
      </c>
      <c r="M54" s="8"/>
      <c r="N54" s="8"/>
    </row>
    <row r="55" spans="5:14" x14ac:dyDescent="0.25">
      <c r="E55" s="7">
        <v>34851</v>
      </c>
      <c r="F55" s="8">
        <f>Data!$B55</f>
        <v>1761.2070000000001</v>
      </c>
      <c r="G55" s="8">
        <v>1.0266433954238892</v>
      </c>
      <c r="H55" s="8">
        <f t="shared" si="0"/>
        <v>1715.5002485286707</v>
      </c>
      <c r="I55" s="8">
        <f t="shared" si="1"/>
        <v>1744.7612493767754</v>
      </c>
      <c r="J55" s="8">
        <f t="shared" si="2"/>
        <v>-29.261000848104686</v>
      </c>
      <c r="K55" s="8">
        <f t="shared" si="3"/>
        <v>1791.2476132641996</v>
      </c>
      <c r="L55" s="8">
        <f t="shared" si="4"/>
        <v>-30.040613264199465</v>
      </c>
      <c r="M55" s="8"/>
      <c r="N55" s="8"/>
    </row>
    <row r="56" spans="5:14" x14ac:dyDescent="0.25">
      <c r="E56" s="7">
        <v>34881</v>
      </c>
      <c r="F56" s="8">
        <f>Data!$B56</f>
        <v>1791.655</v>
      </c>
      <c r="G56" s="8">
        <v>1.0838872194290161</v>
      </c>
      <c r="H56" s="8">
        <f t="shared" si="0"/>
        <v>1652.9902446343365</v>
      </c>
      <c r="I56" s="8">
        <f t="shared" si="1"/>
        <v>1743.5803784543723</v>
      </c>
      <c r="J56" s="8">
        <f t="shared" si="2"/>
        <v>-90.590133820035817</v>
      </c>
      <c r="K56" s="8">
        <f t="shared" si="3"/>
        <v>1889.8444882539011</v>
      </c>
      <c r="L56" s="8">
        <f t="shared" si="4"/>
        <v>-98.189488253901118</v>
      </c>
      <c r="M56" s="8"/>
      <c r="N56" s="8"/>
    </row>
    <row r="57" spans="5:14" x14ac:dyDescent="0.25">
      <c r="E57" s="7">
        <v>34912</v>
      </c>
      <c r="F57" s="8">
        <f>Data!$B57</f>
        <v>1874.82</v>
      </c>
      <c r="G57" s="8">
        <v>1.1051819324493408</v>
      </c>
      <c r="H57" s="8">
        <f t="shared" si="0"/>
        <v>1696.3903814867492</v>
      </c>
      <c r="I57" s="8">
        <f t="shared" si="1"/>
        <v>1737.7485140131039</v>
      </c>
      <c r="J57" s="8">
        <f t="shared" si="2"/>
        <v>-41.358132526354666</v>
      </c>
      <c r="K57" s="8">
        <f t="shared" si="3"/>
        <v>1920.5282608279726</v>
      </c>
      <c r="L57" s="8">
        <f t="shared" si="4"/>
        <v>-45.708260827972708</v>
      </c>
      <c r="M57" s="8"/>
      <c r="N57" s="8"/>
    </row>
    <row r="58" spans="5:14" x14ac:dyDescent="0.25">
      <c r="E58" s="7">
        <v>34943</v>
      </c>
      <c r="F58" s="8">
        <f>Data!$B58</f>
        <v>1571.309</v>
      </c>
      <c r="G58" s="8">
        <v>0.92445313930511475</v>
      </c>
      <c r="H58" s="8">
        <f t="shared" si="0"/>
        <v>1699.717306580957</v>
      </c>
      <c r="I58" s="8">
        <f t="shared" si="1"/>
        <v>1735.3516235806574</v>
      </c>
      <c r="J58" s="8">
        <f t="shared" si="2"/>
        <v>-35.634316999700332</v>
      </c>
      <c r="K58" s="8">
        <f t="shared" si="3"/>
        <v>1604.2512562173665</v>
      </c>
      <c r="L58" s="8">
        <f t="shared" si="4"/>
        <v>-32.942256217366548</v>
      </c>
      <c r="M58" s="8"/>
      <c r="N58" s="8"/>
    </row>
    <row r="59" spans="5:14" x14ac:dyDescent="0.25">
      <c r="E59" s="7">
        <v>34973</v>
      </c>
      <c r="F59" s="8">
        <f>Data!$B59</f>
        <v>1646.9480000000001</v>
      </c>
      <c r="G59" s="8">
        <v>0.99956631660461426</v>
      </c>
      <c r="H59" s="8">
        <f t="shared" si="0"/>
        <v>1647.66256389516</v>
      </c>
      <c r="I59" s="8">
        <f t="shared" si="1"/>
        <v>1725.0461616144321</v>
      </c>
      <c r="J59" s="8">
        <f t="shared" si="2"/>
        <v>-77.383597719272075</v>
      </c>
      <c r="K59" s="8">
        <f t="shared" si="3"/>
        <v>1724.298037737866</v>
      </c>
      <c r="L59" s="8">
        <f t="shared" si="4"/>
        <v>-77.350037737865932</v>
      </c>
      <c r="M59" s="8"/>
      <c r="N59" s="8"/>
    </row>
    <row r="60" spans="5:14" x14ac:dyDescent="0.25">
      <c r="E60" s="7">
        <v>35004</v>
      </c>
      <c r="F60" s="8">
        <f>Data!$B60</f>
        <v>1672.6310000000001</v>
      </c>
      <c r="G60" s="8">
        <v>0.99299192428588867</v>
      </c>
      <c r="H60" s="8">
        <f t="shared" si="0"/>
        <v>1684.4356525888916</v>
      </c>
      <c r="I60" s="8">
        <f t="shared" si="1"/>
        <v>1714.0749035619883</v>
      </c>
      <c r="J60" s="8">
        <f t="shared" si="2"/>
        <v>-29.63925097309675</v>
      </c>
      <c r="K60" s="8">
        <f t="shared" si="3"/>
        <v>1702.0625368581677</v>
      </c>
      <c r="L60" s="8">
        <f t="shared" si="4"/>
        <v>-29.431536858167647</v>
      </c>
      <c r="M60" s="8"/>
      <c r="N60" s="8"/>
    </row>
    <row r="61" spans="5:14" x14ac:dyDescent="0.25">
      <c r="E61" s="7">
        <v>35034</v>
      </c>
      <c r="F61" s="8">
        <f>Data!$B61</f>
        <v>1656.845</v>
      </c>
      <c r="G61" s="8">
        <v>1.0167368650436401</v>
      </c>
      <c r="H61" s="8">
        <f t="shared" si="0"/>
        <v>1629.5710886109016</v>
      </c>
      <c r="I61" s="8">
        <f t="shared" si="1"/>
        <v>1705.4004456374071</v>
      </c>
      <c r="J61" s="8">
        <f t="shared" si="2"/>
        <v>-75.829357026505477</v>
      </c>
      <c r="K61" s="8">
        <f t="shared" si="3"/>
        <v>1733.943502741404</v>
      </c>
      <c r="L61" s="8">
        <f t="shared" si="4"/>
        <v>-77.098502741403991</v>
      </c>
      <c r="M61" s="8"/>
      <c r="N61" s="8"/>
    </row>
    <row r="62" spans="5:14" x14ac:dyDescent="0.25">
      <c r="E62" s="7">
        <v>35065</v>
      </c>
      <c r="F62" s="8">
        <f>Data!$B62</f>
        <v>1381.758</v>
      </c>
      <c r="G62" s="8">
        <v>0.88213890790939331</v>
      </c>
      <c r="H62" s="8">
        <f t="shared" si="0"/>
        <v>1566.3723565653265</v>
      </c>
      <c r="I62" s="8">
        <f t="shared" si="1"/>
        <v>1695.0318992654011</v>
      </c>
      <c r="J62" s="8">
        <f t="shared" si="2"/>
        <v>-128.65954270007455</v>
      </c>
      <c r="K62" s="8">
        <f t="shared" si="3"/>
        <v>1495.2535884895656</v>
      </c>
      <c r="L62" s="8">
        <f t="shared" si="4"/>
        <v>-113.49558848956553</v>
      </c>
      <c r="M62" s="8"/>
      <c r="N62" s="8"/>
    </row>
    <row r="63" spans="5:14" x14ac:dyDescent="0.25">
      <c r="E63" s="7">
        <v>35096</v>
      </c>
      <c r="F63" s="8">
        <f>Data!$B63</f>
        <v>1360.8520000000001</v>
      </c>
      <c r="G63" s="8">
        <v>0.86250799894332886</v>
      </c>
      <c r="H63" s="8">
        <f t="shared" si="0"/>
        <v>1577.7847876972733</v>
      </c>
      <c r="I63" s="8">
        <f t="shared" si="1"/>
        <v>1679.288252534925</v>
      </c>
      <c r="J63" s="8">
        <f t="shared" si="2"/>
        <v>-101.50346483765179</v>
      </c>
      <c r="K63" s="8">
        <f t="shared" si="3"/>
        <v>1448.3995503429378</v>
      </c>
      <c r="L63" s="8">
        <f t="shared" si="4"/>
        <v>-87.547550342937711</v>
      </c>
      <c r="M63" s="8"/>
      <c r="N63" s="8"/>
    </row>
    <row r="64" spans="5:14" x14ac:dyDescent="0.25">
      <c r="E64" s="7">
        <v>35125</v>
      </c>
      <c r="F64" s="8">
        <f>Data!$B64</f>
        <v>1558.575</v>
      </c>
      <c r="G64" s="8">
        <v>1.0256878137588501</v>
      </c>
      <c r="H64" s="8">
        <f t="shared" si="0"/>
        <v>1519.5413059342804</v>
      </c>
      <c r="I64" s="8">
        <f t="shared" si="1"/>
        <v>1666.1412247038106</v>
      </c>
      <c r="J64" s="8">
        <f t="shared" si="2"/>
        <v>-146.59991876953018</v>
      </c>
      <c r="K64" s="8">
        <f t="shared" si="3"/>
        <v>1708.9407501799444</v>
      </c>
      <c r="L64" s="8">
        <f t="shared" si="4"/>
        <v>-150.36575017994437</v>
      </c>
      <c r="M64" s="8"/>
      <c r="N64" s="8"/>
    </row>
    <row r="65" spans="5:14" x14ac:dyDescent="0.25">
      <c r="E65" s="7">
        <v>35156</v>
      </c>
      <c r="F65" s="8">
        <f>Data!$B65</f>
        <v>1608.42</v>
      </c>
      <c r="G65" s="8">
        <v>1.0355126857757568</v>
      </c>
      <c r="H65" s="8">
        <f t="shared" si="0"/>
        <v>1553.2595805864496</v>
      </c>
      <c r="I65" s="8">
        <f t="shared" si="1"/>
        <v>1646.6631570123836</v>
      </c>
      <c r="J65" s="8">
        <f t="shared" si="2"/>
        <v>-93.403576425934034</v>
      </c>
      <c r="K65" s="8">
        <f t="shared" si="3"/>
        <v>1705.1405882858801</v>
      </c>
      <c r="L65" s="8">
        <f t="shared" si="4"/>
        <v>-96.720588285880012</v>
      </c>
      <c r="M65" s="8"/>
      <c r="N65" s="8"/>
    </row>
    <row r="66" spans="5:14" x14ac:dyDescent="0.25">
      <c r="E66" s="7">
        <v>35186</v>
      </c>
      <c r="F66" s="8">
        <f>Data!$B66</f>
        <v>1696.6959999999999</v>
      </c>
      <c r="G66" s="8">
        <v>1.0446906089782715</v>
      </c>
      <c r="H66" s="8">
        <f t="shared" si="0"/>
        <v>1624.1133838270098</v>
      </c>
      <c r="I66" s="8">
        <f t="shared" si="1"/>
        <v>1636.6459773011609</v>
      </c>
      <c r="J66" s="8">
        <f t="shared" si="2"/>
        <v>-12.532593474151099</v>
      </c>
      <c r="K66" s="8">
        <f t="shared" si="3"/>
        <v>1709.7886827085881</v>
      </c>
      <c r="L66" s="8">
        <f t="shared" si="4"/>
        <v>-13.0926827085882</v>
      </c>
      <c r="M66" s="8"/>
      <c r="N66" s="8"/>
    </row>
    <row r="67" spans="5:14" x14ac:dyDescent="0.25">
      <c r="E67" s="7">
        <v>35217</v>
      </c>
      <c r="F67" s="8">
        <f>Data!$B67</f>
        <v>1693.183</v>
      </c>
      <c r="G67" s="8">
        <v>1.0266433954238892</v>
      </c>
      <c r="H67" s="8">
        <f t="shared" ref="H67:H130" si="5">F67/G67</f>
        <v>1649.2416038004164</v>
      </c>
      <c r="I67" s="8">
        <f t="shared" si="1"/>
        <v>1630.6115750780007</v>
      </c>
      <c r="J67" s="8">
        <f t="shared" si="2"/>
        <v>18.630028722415773</v>
      </c>
      <c r="K67" s="8">
        <f t="shared" si="3"/>
        <v>1674.0566040555746</v>
      </c>
      <c r="L67" s="8">
        <f t="shared" si="4"/>
        <v>19.12639594442544</v>
      </c>
      <c r="M67" s="8"/>
      <c r="N67" s="8"/>
    </row>
    <row r="68" spans="5:14" x14ac:dyDescent="0.25">
      <c r="E68" s="7">
        <v>35247</v>
      </c>
      <c r="F68" s="8">
        <f>Data!$B68</f>
        <v>1835.5160000000001</v>
      </c>
      <c r="G68" s="8">
        <v>1.0838872194290161</v>
      </c>
      <c r="H68" s="8">
        <f t="shared" si="5"/>
        <v>1693.4566319242481</v>
      </c>
      <c r="I68" s="8">
        <f t="shared" si="1"/>
        <v>1625.0900213506459</v>
      </c>
      <c r="J68" s="8">
        <f t="shared" si="2"/>
        <v>68.366610573602202</v>
      </c>
      <c r="K68" s="8">
        <f t="shared" si="3"/>
        <v>1761.4143045635919</v>
      </c>
      <c r="L68" s="8">
        <f t="shared" si="4"/>
        <v>74.101695436408136</v>
      </c>
      <c r="M68" s="8"/>
      <c r="N68" s="8"/>
    </row>
    <row r="69" spans="5:14" x14ac:dyDescent="0.25">
      <c r="E69" s="7">
        <v>35278</v>
      </c>
      <c r="F69" s="8">
        <f>Data!$B69</f>
        <v>1942.5730000000001</v>
      </c>
      <c r="G69" s="8">
        <v>1.1051819324493408</v>
      </c>
      <c r="H69" s="8">
        <f t="shared" si="5"/>
        <v>1757.6952200935871</v>
      </c>
      <c r="I69" s="8">
        <f t="shared" si="1"/>
        <v>1628.4622202914718</v>
      </c>
      <c r="J69" s="8">
        <f t="shared" si="2"/>
        <v>129.23299980211527</v>
      </c>
      <c r="K69" s="8">
        <f t="shared" si="3"/>
        <v>1799.747023542473</v>
      </c>
      <c r="L69" s="8">
        <f t="shared" si="4"/>
        <v>142.82597645752708</v>
      </c>
      <c r="M69" s="8"/>
      <c r="N69" s="8"/>
    </row>
    <row r="70" spans="5:14" x14ac:dyDescent="0.25">
      <c r="E70" s="7">
        <v>35309</v>
      </c>
      <c r="F70" s="8">
        <f>Data!$B70</f>
        <v>1551.4010000000001</v>
      </c>
      <c r="G70" s="8">
        <v>0.92445313930511475</v>
      </c>
      <c r="H70" s="8">
        <f t="shared" si="5"/>
        <v>1678.1824129735166</v>
      </c>
      <c r="I70" s="8">
        <f t="shared" si="1"/>
        <v>1633.5709568420418</v>
      </c>
      <c r="J70" s="8">
        <f t="shared" si="2"/>
        <v>44.611456131474824</v>
      </c>
      <c r="K70" s="8">
        <f t="shared" si="3"/>
        <v>1510.1597993302858</v>
      </c>
      <c r="L70" s="8">
        <f t="shared" si="4"/>
        <v>41.241200669714317</v>
      </c>
      <c r="M70" s="8"/>
      <c r="N70" s="8"/>
    </row>
    <row r="71" spans="5:14" x14ac:dyDescent="0.25">
      <c r="E71" s="7">
        <v>35339</v>
      </c>
      <c r="F71" s="8">
        <f>Data!$B71</f>
        <v>1686.508</v>
      </c>
      <c r="G71" s="8">
        <v>0.99956631660461426</v>
      </c>
      <c r="H71" s="8">
        <f t="shared" si="5"/>
        <v>1687.2397278540054</v>
      </c>
      <c r="I71" s="8">
        <f t="shared" si="1"/>
        <v>1631.7763823747553</v>
      </c>
      <c r="J71" s="8">
        <f t="shared" si="2"/>
        <v>55.463345479250165</v>
      </c>
      <c r="K71" s="8">
        <f t="shared" si="3"/>
        <v>1631.0687080527366</v>
      </c>
      <c r="L71" s="8">
        <f t="shared" si="4"/>
        <v>55.439291947263428</v>
      </c>
      <c r="M71" s="8"/>
      <c r="N71" s="8"/>
    </row>
    <row r="72" spans="5:14" x14ac:dyDescent="0.25">
      <c r="E72" s="7">
        <v>35370</v>
      </c>
      <c r="F72" s="8">
        <f>Data!$B72</f>
        <v>1576.204</v>
      </c>
      <c r="G72" s="8">
        <v>0.99299192428588867</v>
      </c>
      <c r="H72" s="8">
        <f t="shared" si="5"/>
        <v>1587.3281156173841</v>
      </c>
      <c r="I72" s="8">
        <f t="shared" si="1"/>
        <v>1635.0744793713254</v>
      </c>
      <c r="J72" s="8">
        <f t="shared" si="2"/>
        <v>-47.746363753941296</v>
      </c>
      <c r="K72" s="8">
        <f t="shared" si="3"/>
        <v>1623.6157536216799</v>
      </c>
      <c r="L72" s="8">
        <f t="shared" si="4"/>
        <v>-47.411753621679964</v>
      </c>
      <c r="M72" s="8"/>
      <c r="N72" s="8"/>
    </row>
    <row r="73" spans="5:14" x14ac:dyDescent="0.25">
      <c r="E73" s="7">
        <v>35400</v>
      </c>
      <c r="F73" s="8">
        <f>Data!$B73</f>
        <v>1700.433</v>
      </c>
      <c r="G73" s="8">
        <v>1.0167368650436401</v>
      </c>
      <c r="H73" s="8">
        <f t="shared" si="5"/>
        <v>1672.4415711306135</v>
      </c>
      <c r="I73" s="8">
        <f t="shared" si="1"/>
        <v>1626.9821846236998</v>
      </c>
      <c r="J73" s="8">
        <f t="shared" si="2"/>
        <v>45.459386506913688</v>
      </c>
      <c r="K73" s="8">
        <f t="shared" si="3"/>
        <v>1654.2127658761535</v>
      </c>
      <c r="L73" s="8">
        <f t="shared" si="4"/>
        <v>46.220234123846467</v>
      </c>
      <c r="M73" s="8"/>
      <c r="N73" s="8"/>
    </row>
    <row r="74" spans="5:14" x14ac:dyDescent="0.25">
      <c r="E74" s="7">
        <v>35431</v>
      </c>
      <c r="F74" s="8">
        <f>Data!$B74</f>
        <v>1396.588</v>
      </c>
      <c r="G74" s="8">
        <v>0.88213890790939331</v>
      </c>
      <c r="H74" s="8">
        <f t="shared" si="5"/>
        <v>1583.1837678601146</v>
      </c>
      <c r="I74" s="8">
        <f t="shared" si="1"/>
        <v>1630.5547248336759</v>
      </c>
      <c r="J74" s="8">
        <f t="shared" si="2"/>
        <v>-47.370956973561306</v>
      </c>
      <c r="K74" s="8">
        <f t="shared" si="3"/>
        <v>1438.3757642512801</v>
      </c>
      <c r="L74" s="8">
        <f t="shared" si="4"/>
        <v>-41.787764251280123</v>
      </c>
      <c r="M74" s="8"/>
      <c r="N74" s="8"/>
    </row>
    <row r="75" spans="5:14" x14ac:dyDescent="0.25">
      <c r="E75" s="7">
        <v>35462</v>
      </c>
      <c r="F75" s="8">
        <f>Data!$B75</f>
        <v>1371.69</v>
      </c>
      <c r="G75" s="8">
        <v>0.86250799894332886</v>
      </c>
      <c r="H75" s="8">
        <f t="shared" si="5"/>
        <v>1590.350468262877</v>
      </c>
      <c r="I75" s="8">
        <f t="shared" si="1"/>
        <v>1631.9556757749081</v>
      </c>
      <c r="J75" s="8">
        <f t="shared" si="2"/>
        <v>-41.605207512031029</v>
      </c>
      <c r="K75" s="8">
        <f t="shared" si="3"/>
        <v>1407.5748242768238</v>
      </c>
      <c r="L75" s="8">
        <f t="shared" si="4"/>
        <v>-35.884824276823792</v>
      </c>
      <c r="M75" s="8"/>
      <c r="N75" s="8"/>
    </row>
    <row r="76" spans="5:14" x14ac:dyDescent="0.25">
      <c r="E76" s="7">
        <v>35490</v>
      </c>
      <c r="F76" s="8">
        <f>Data!$B76</f>
        <v>1707.5219999999999</v>
      </c>
      <c r="G76" s="8">
        <v>1.0256878137588501</v>
      </c>
      <c r="H76" s="8">
        <f t="shared" si="5"/>
        <v>1664.758006378592</v>
      </c>
      <c r="I76" s="8">
        <f t="shared" si="1"/>
        <v>1633.0028158220418</v>
      </c>
      <c r="J76" s="8">
        <f t="shared" si="2"/>
        <v>31.755190556550133</v>
      </c>
      <c r="K76" s="8">
        <f t="shared" si="3"/>
        <v>1674.9510880225562</v>
      </c>
      <c r="L76" s="8">
        <f t="shared" si="4"/>
        <v>32.570911977443757</v>
      </c>
      <c r="M76" s="8"/>
      <c r="N76" s="8"/>
    </row>
    <row r="77" spans="5:14" x14ac:dyDescent="0.25">
      <c r="E77" s="7">
        <v>35521</v>
      </c>
      <c r="F77" s="8">
        <f>Data!$B77</f>
        <v>1654.604</v>
      </c>
      <c r="G77" s="8">
        <v>1.0355126857757568</v>
      </c>
      <c r="H77" s="8">
        <f t="shared" si="5"/>
        <v>1597.8597101979967</v>
      </c>
      <c r="I77" s="8">
        <f t="shared" si="1"/>
        <v>1645.1042075257344</v>
      </c>
      <c r="J77" s="8">
        <f t="shared" si="2"/>
        <v>-47.24449732773769</v>
      </c>
      <c r="K77" s="8">
        <f t="shared" si="3"/>
        <v>1703.5262763159712</v>
      </c>
      <c r="L77" s="8">
        <f t="shared" si="4"/>
        <v>-48.922276315971203</v>
      </c>
      <c r="M77" s="8"/>
      <c r="N77" s="8"/>
    </row>
    <row r="78" spans="5:14" x14ac:dyDescent="0.25">
      <c r="E78" s="7">
        <v>35551</v>
      </c>
      <c r="F78" s="8">
        <f>Data!$B78</f>
        <v>1762.903</v>
      </c>
      <c r="G78" s="8">
        <v>1.0446906089782715</v>
      </c>
      <c r="H78" s="8">
        <f t="shared" si="5"/>
        <v>1687.4881279196668</v>
      </c>
      <c r="I78" s="8">
        <f t="shared" si="1"/>
        <v>1648.8208849933635</v>
      </c>
      <c r="J78" s="8">
        <f t="shared" si="2"/>
        <v>38.667242926303288</v>
      </c>
      <c r="K78" s="8">
        <f t="shared" si="3"/>
        <v>1722.5076944398095</v>
      </c>
      <c r="L78" s="8">
        <f t="shared" si="4"/>
        <v>40.395305560190536</v>
      </c>
      <c r="M78" s="8"/>
      <c r="N78" s="8"/>
    </row>
    <row r="79" spans="5:14" x14ac:dyDescent="0.25">
      <c r="E79" s="7">
        <v>35582</v>
      </c>
      <c r="F79" s="8">
        <f>Data!$B79</f>
        <v>1775.8</v>
      </c>
      <c r="G79" s="8">
        <v>1.0266433954238892</v>
      </c>
      <c r="H79" s="8">
        <f t="shared" si="5"/>
        <v>1729.7145317598743</v>
      </c>
      <c r="I79" s="8">
        <f t="shared" ref="I79:I142" si="6">AVERAGE($H67:$H78)</f>
        <v>1654.1021136677518</v>
      </c>
      <c r="J79" s="8">
        <f t="shared" ref="J79:J142" si="7">H79-I79</f>
        <v>75.612418092122425</v>
      </c>
      <c r="K79" s="8">
        <f t="shared" ref="K79:K142" si="8">G79*I79</f>
        <v>1698.1730103536927</v>
      </c>
      <c r="L79" s="8">
        <f t="shared" ref="L79:L142" si="9">F79-K79</f>
        <v>77.626989646307266</v>
      </c>
      <c r="M79" s="8"/>
      <c r="N79" s="8"/>
    </row>
    <row r="80" spans="5:14" x14ac:dyDescent="0.25">
      <c r="E80" s="7">
        <v>35612</v>
      </c>
      <c r="F80" s="8">
        <f>Data!$B80</f>
        <v>1934.2190000000001</v>
      </c>
      <c r="G80" s="8">
        <v>1.0838872194290161</v>
      </c>
      <c r="H80" s="8">
        <f t="shared" si="5"/>
        <v>1784.5205343586692</v>
      </c>
      <c r="I80" s="8">
        <f t="shared" si="6"/>
        <v>1660.8081909977063</v>
      </c>
      <c r="J80" s="8">
        <f t="shared" si="7"/>
        <v>123.7123433609629</v>
      </c>
      <c r="K80" s="8">
        <f t="shared" si="8"/>
        <v>1800.1287721454382</v>
      </c>
      <c r="L80" s="8">
        <f t="shared" si="9"/>
        <v>134.09022785456182</v>
      </c>
      <c r="M80" s="8"/>
      <c r="N80" s="8"/>
    </row>
    <row r="81" spans="5:14" x14ac:dyDescent="0.25">
      <c r="E81" s="7">
        <v>35643</v>
      </c>
      <c r="F81" s="8">
        <f>Data!$B81</f>
        <v>2008.0550000000001</v>
      </c>
      <c r="G81" s="8">
        <v>1.1051819324493408</v>
      </c>
      <c r="H81" s="8">
        <f t="shared" si="5"/>
        <v>1816.9451934032998</v>
      </c>
      <c r="I81" s="8">
        <f t="shared" si="6"/>
        <v>1668.3968495339079</v>
      </c>
      <c r="J81" s="8">
        <f t="shared" si="7"/>
        <v>148.54834386939183</v>
      </c>
      <c r="K81" s="8">
        <f t="shared" si="8"/>
        <v>1843.8820542602764</v>
      </c>
      <c r="L81" s="8">
        <f t="shared" si="9"/>
        <v>164.17294573972367</v>
      </c>
      <c r="M81" s="8"/>
      <c r="N81" s="8"/>
    </row>
    <row r="82" spans="5:14" x14ac:dyDescent="0.25">
      <c r="E82" s="7">
        <v>35674</v>
      </c>
      <c r="F82" s="8">
        <f>Data!$B82</f>
        <v>1615.924</v>
      </c>
      <c r="G82" s="8">
        <v>0.92445313930511475</v>
      </c>
      <c r="H82" s="8">
        <f t="shared" si="5"/>
        <v>1747.9782709317687</v>
      </c>
      <c r="I82" s="8">
        <f t="shared" si="6"/>
        <v>1673.3343473097173</v>
      </c>
      <c r="J82" s="8">
        <f t="shared" si="7"/>
        <v>74.643923622051489</v>
      </c>
      <c r="K82" s="8">
        <f t="shared" si="8"/>
        <v>1546.9191904775432</v>
      </c>
      <c r="L82" s="8">
        <f t="shared" si="9"/>
        <v>69.004809522456753</v>
      </c>
      <c r="M82" s="8"/>
      <c r="N82" s="8"/>
    </row>
    <row r="83" spans="5:14" x14ac:dyDescent="0.25">
      <c r="E83" s="7">
        <v>35704</v>
      </c>
      <c r="F83" s="8">
        <f>Data!$B83</f>
        <v>1773.91</v>
      </c>
      <c r="G83" s="8">
        <v>0.99956631660461426</v>
      </c>
      <c r="H83" s="8">
        <f t="shared" si="5"/>
        <v>1774.6796490959421</v>
      </c>
      <c r="I83" s="8">
        <f t="shared" si="6"/>
        <v>1679.1506688062382</v>
      </c>
      <c r="J83" s="8">
        <f t="shared" si="7"/>
        <v>95.528980289703895</v>
      </c>
      <c r="K83" s="8">
        <f t="shared" si="8"/>
        <v>1678.422449042826</v>
      </c>
      <c r="L83" s="8">
        <f t="shared" si="9"/>
        <v>95.487550957174108</v>
      </c>
      <c r="M83" s="8"/>
      <c r="N83" s="8"/>
    </row>
    <row r="84" spans="5:14" x14ac:dyDescent="0.25">
      <c r="E84" s="7">
        <v>35735</v>
      </c>
      <c r="F84" s="8">
        <f>Data!$B84</f>
        <v>1732.3679999999999</v>
      </c>
      <c r="G84" s="8">
        <v>0.99299192428588867</v>
      </c>
      <c r="H84" s="8">
        <f t="shared" si="5"/>
        <v>1744.5942485844832</v>
      </c>
      <c r="I84" s="8">
        <f t="shared" si="6"/>
        <v>1686.4373289097332</v>
      </c>
      <c r="J84" s="8">
        <f t="shared" si="7"/>
        <v>58.156919674750043</v>
      </c>
      <c r="K84" s="8">
        <f t="shared" si="8"/>
        <v>1674.61864842163</v>
      </c>
      <c r="L84" s="8">
        <f t="shared" si="9"/>
        <v>57.749351578369897</v>
      </c>
      <c r="M84" s="8"/>
      <c r="N84" s="8"/>
    </row>
    <row r="85" spans="5:14" x14ac:dyDescent="0.25">
      <c r="E85" s="7">
        <v>35765</v>
      </c>
      <c r="F85" s="8">
        <f>Data!$B85</f>
        <v>1796.626</v>
      </c>
      <c r="G85" s="8">
        <v>1.0167368650436401</v>
      </c>
      <c r="H85" s="8">
        <f t="shared" si="5"/>
        <v>1767.0511041447146</v>
      </c>
      <c r="I85" s="8">
        <f t="shared" si="6"/>
        <v>1699.5428399903249</v>
      </c>
      <c r="J85" s="8">
        <f t="shared" si="7"/>
        <v>67.508264154389735</v>
      </c>
      <c r="K85" s="8">
        <f t="shared" si="8"/>
        <v>1727.9878591391277</v>
      </c>
      <c r="L85" s="8">
        <f t="shared" si="9"/>
        <v>68.638140860872227</v>
      </c>
      <c r="M85" s="8"/>
      <c r="N85" s="8"/>
    </row>
    <row r="86" spans="5:14" x14ac:dyDescent="0.25">
      <c r="E86" s="7">
        <v>35796</v>
      </c>
      <c r="F86" s="8">
        <f>Data!$B86</f>
        <v>1570.33</v>
      </c>
      <c r="G86" s="8">
        <v>0.88213890790939331</v>
      </c>
      <c r="H86" s="8">
        <f t="shared" si="5"/>
        <v>1780.1391435296407</v>
      </c>
      <c r="I86" s="8">
        <f t="shared" si="6"/>
        <v>1707.4269677414998</v>
      </c>
      <c r="J86" s="8">
        <f t="shared" si="7"/>
        <v>72.712175788140939</v>
      </c>
      <c r="K86" s="8">
        <f t="shared" si="8"/>
        <v>1506.1877606585335</v>
      </c>
      <c r="L86" s="8">
        <f t="shared" si="9"/>
        <v>64.142239341466393</v>
      </c>
      <c r="M86" s="8"/>
      <c r="N86" s="8"/>
    </row>
    <row r="87" spans="5:14" x14ac:dyDescent="0.25">
      <c r="E87" s="7">
        <v>35827</v>
      </c>
      <c r="F87" s="8">
        <f>Data!$B87</f>
        <v>1412.691</v>
      </c>
      <c r="G87" s="8">
        <v>0.86250799894332886</v>
      </c>
      <c r="H87" s="8">
        <f t="shared" si="5"/>
        <v>1637.8874187030247</v>
      </c>
      <c r="I87" s="8">
        <f t="shared" si="6"/>
        <v>1723.8399157139602</v>
      </c>
      <c r="J87" s="8">
        <f t="shared" si="7"/>
        <v>-85.952497010935531</v>
      </c>
      <c r="K87" s="8">
        <f t="shared" si="8"/>
        <v>1486.8257162010846</v>
      </c>
      <c r="L87" s="8">
        <f t="shared" si="9"/>
        <v>-74.13471620108453</v>
      </c>
      <c r="M87" s="8"/>
      <c r="N87" s="8"/>
    </row>
    <row r="88" spans="5:14" x14ac:dyDescent="0.25">
      <c r="E88" s="7">
        <v>35855</v>
      </c>
      <c r="F88" s="8">
        <f>Data!$B88</f>
        <v>1754.6410000000001</v>
      </c>
      <c r="G88" s="8">
        <v>1.0256878137588501</v>
      </c>
      <c r="H88" s="8">
        <f t="shared" si="5"/>
        <v>1710.6969357174546</v>
      </c>
      <c r="I88" s="8">
        <f t="shared" si="6"/>
        <v>1727.801328250639</v>
      </c>
      <c r="J88" s="8">
        <f t="shared" si="7"/>
        <v>-17.104392533184409</v>
      </c>
      <c r="K88" s="8">
        <f t="shared" si="8"/>
        <v>1772.1847669830352</v>
      </c>
      <c r="L88" s="8">
        <f t="shared" si="9"/>
        <v>-17.543766983035084</v>
      </c>
      <c r="M88" s="8"/>
      <c r="N88" s="8"/>
    </row>
    <row r="89" spans="5:14" x14ac:dyDescent="0.25">
      <c r="E89" s="7">
        <v>35886</v>
      </c>
      <c r="F89" s="8">
        <f>Data!$B89</f>
        <v>1824.932</v>
      </c>
      <c r="G89" s="8">
        <v>1.0355126857757568</v>
      </c>
      <c r="H89" s="8">
        <f t="shared" si="5"/>
        <v>1762.346347918324</v>
      </c>
      <c r="I89" s="8">
        <f t="shared" si="6"/>
        <v>1731.6295723622113</v>
      </c>
      <c r="J89" s="8">
        <f t="shared" si="7"/>
        <v>30.71677555611268</v>
      </c>
      <c r="K89" s="8">
        <f t="shared" si="8"/>
        <v>1793.1243892455186</v>
      </c>
      <c r="L89" s="8">
        <f t="shared" si="9"/>
        <v>31.807610754481402</v>
      </c>
      <c r="M89" s="8"/>
      <c r="N89" s="8"/>
    </row>
    <row r="90" spans="5:14" x14ac:dyDescent="0.25">
      <c r="E90" s="7">
        <v>35916</v>
      </c>
      <c r="F90" s="8">
        <f>Data!$B90</f>
        <v>1843.289</v>
      </c>
      <c r="G90" s="8">
        <v>1.0446906089782715</v>
      </c>
      <c r="H90" s="8">
        <f t="shared" si="5"/>
        <v>1764.4353114294518</v>
      </c>
      <c r="I90" s="8">
        <f t="shared" si="6"/>
        <v>1745.3367921722383</v>
      </c>
      <c r="J90" s="8">
        <f t="shared" si="7"/>
        <v>19.098519257213411</v>
      </c>
      <c r="K90" s="8">
        <f t="shared" si="8"/>
        <v>1823.3369562865985</v>
      </c>
      <c r="L90" s="8">
        <f t="shared" si="9"/>
        <v>19.952043713401508</v>
      </c>
      <c r="M90" s="8"/>
      <c r="N90" s="8"/>
    </row>
    <row r="91" spans="5:14" x14ac:dyDescent="0.25">
      <c r="E91" s="7">
        <v>35947</v>
      </c>
      <c r="F91" s="8">
        <f>Data!$B91</f>
        <v>1825.9639999999999</v>
      </c>
      <c r="G91" s="8">
        <v>1.0266433954238892</v>
      </c>
      <c r="H91" s="8">
        <f t="shared" si="5"/>
        <v>1778.5766782691671</v>
      </c>
      <c r="I91" s="8">
        <f t="shared" si="6"/>
        <v>1751.7490574647206</v>
      </c>
      <c r="J91" s="8">
        <f t="shared" si="7"/>
        <v>26.827620804446497</v>
      </c>
      <c r="K91" s="8">
        <f t="shared" si="8"/>
        <v>1798.4216002861783</v>
      </c>
      <c r="L91" s="8">
        <f t="shared" si="9"/>
        <v>27.542399713821624</v>
      </c>
      <c r="M91" s="8"/>
      <c r="N91" s="8"/>
    </row>
    <row r="92" spans="5:14" x14ac:dyDescent="0.25">
      <c r="E92" s="7">
        <v>35977</v>
      </c>
      <c r="F92" s="8">
        <f>Data!$B92</f>
        <v>1968.172</v>
      </c>
      <c r="G92" s="8">
        <v>1.0838872194290161</v>
      </c>
      <c r="H92" s="8">
        <f t="shared" si="5"/>
        <v>1815.8457491885722</v>
      </c>
      <c r="I92" s="8">
        <f t="shared" si="6"/>
        <v>1755.8209030071621</v>
      </c>
      <c r="J92" s="8">
        <f t="shared" si="7"/>
        <v>60.024846181410112</v>
      </c>
      <c r="K92" s="8">
        <f t="shared" si="8"/>
        <v>1903.1118363757771</v>
      </c>
      <c r="L92" s="8">
        <f t="shared" si="9"/>
        <v>65.060163624222923</v>
      </c>
      <c r="M92" s="8"/>
      <c r="N92" s="8"/>
    </row>
    <row r="93" spans="5:14" x14ac:dyDescent="0.25">
      <c r="E93" s="7">
        <v>36008</v>
      </c>
      <c r="F93" s="8">
        <f>Data!$B93</f>
        <v>1921.645</v>
      </c>
      <c r="G93" s="8">
        <v>1.1051819324493408</v>
      </c>
      <c r="H93" s="8">
        <f t="shared" si="5"/>
        <v>1738.7589713317034</v>
      </c>
      <c r="I93" s="8">
        <f t="shared" si="6"/>
        <v>1758.4313375763204</v>
      </c>
      <c r="J93" s="8">
        <f t="shared" si="7"/>
        <v>-19.672366244617024</v>
      </c>
      <c r="K93" s="8">
        <f t="shared" si="8"/>
        <v>1943.386543742077</v>
      </c>
      <c r="L93" s="8">
        <f t="shared" si="9"/>
        <v>-21.741543742077056</v>
      </c>
      <c r="M93" s="8"/>
      <c r="N93" s="8"/>
    </row>
    <row r="94" spans="5:14" x14ac:dyDescent="0.25">
      <c r="E94" s="7">
        <v>36039</v>
      </c>
      <c r="F94" s="8">
        <f>Data!$B94</f>
        <v>1669.597</v>
      </c>
      <c r="G94" s="8">
        <v>0.92445313930511475</v>
      </c>
      <c r="H94" s="8">
        <f t="shared" si="5"/>
        <v>1806.0374604330823</v>
      </c>
      <c r="I94" s="8">
        <f t="shared" si="6"/>
        <v>1751.9158190703538</v>
      </c>
      <c r="J94" s="8">
        <f t="shared" si="7"/>
        <v>54.121641362728496</v>
      </c>
      <c r="K94" s="8">
        <f t="shared" si="8"/>
        <v>1619.56407873788</v>
      </c>
      <c r="L94" s="8">
        <f t="shared" si="9"/>
        <v>50.032921262119999</v>
      </c>
      <c r="M94" s="8"/>
      <c r="N94" s="8"/>
    </row>
    <row r="95" spans="5:14" x14ac:dyDescent="0.25">
      <c r="E95" s="7">
        <v>36069</v>
      </c>
      <c r="F95" s="8">
        <f>Data!$B95</f>
        <v>1791.4739999999999</v>
      </c>
      <c r="G95" s="8">
        <v>0.99956631660461426</v>
      </c>
      <c r="H95" s="8">
        <f t="shared" si="5"/>
        <v>1792.2512696159913</v>
      </c>
      <c r="I95" s="8">
        <f t="shared" si="6"/>
        <v>1756.7540848621302</v>
      </c>
      <c r="J95" s="8">
        <f t="shared" si="7"/>
        <v>35.49718475386112</v>
      </c>
      <c r="K95" s="8">
        <f t="shared" si="8"/>
        <v>1755.9922097857493</v>
      </c>
      <c r="L95" s="8">
        <f t="shared" si="9"/>
        <v>35.481790214250623</v>
      </c>
      <c r="M95" s="8"/>
      <c r="N95" s="8"/>
    </row>
    <row r="96" spans="5:14" x14ac:dyDescent="0.25">
      <c r="E96" s="7">
        <v>36100</v>
      </c>
      <c r="F96" s="8">
        <f>Data!$B96</f>
        <v>1816.7139999999999</v>
      </c>
      <c r="G96" s="8">
        <v>0.99299192428588867</v>
      </c>
      <c r="H96" s="8">
        <f t="shared" si="5"/>
        <v>1829.5355234701349</v>
      </c>
      <c r="I96" s="8">
        <f t="shared" si="6"/>
        <v>1758.2183865721345</v>
      </c>
      <c r="J96" s="8">
        <f t="shared" si="7"/>
        <v>71.317136898000399</v>
      </c>
      <c r="K96" s="8">
        <f t="shared" si="8"/>
        <v>1745.8966589970944</v>
      </c>
      <c r="L96" s="8">
        <f t="shared" si="9"/>
        <v>70.81734100290555</v>
      </c>
      <c r="M96" s="8"/>
      <c r="N96" s="8"/>
    </row>
    <row r="97" spans="5:14" x14ac:dyDescent="0.25">
      <c r="E97" s="7">
        <v>36130</v>
      </c>
      <c r="F97" s="8">
        <f>Data!$B97</f>
        <v>1846.7539999999999</v>
      </c>
      <c r="G97" s="8">
        <v>1.0167368650436401</v>
      </c>
      <c r="H97" s="8">
        <f t="shared" si="5"/>
        <v>1816.3539294119466</v>
      </c>
      <c r="I97" s="8">
        <f t="shared" si="6"/>
        <v>1765.2968261459382</v>
      </c>
      <c r="J97" s="8">
        <f t="shared" si="7"/>
        <v>51.057103266008426</v>
      </c>
      <c r="K97" s="8">
        <f t="shared" si="8"/>
        <v>1794.842360887109</v>
      </c>
      <c r="L97" s="8">
        <f t="shared" si="9"/>
        <v>51.911639112890953</v>
      </c>
      <c r="M97" s="8"/>
      <c r="N97" s="8"/>
    </row>
    <row r="98" spans="5:14" x14ac:dyDescent="0.25">
      <c r="E98" s="7">
        <v>36161</v>
      </c>
      <c r="F98" s="8">
        <f>Data!$B98</f>
        <v>1599.4269999999999</v>
      </c>
      <c r="G98" s="8">
        <v>0.88213890790939331</v>
      </c>
      <c r="H98" s="8">
        <f t="shared" si="5"/>
        <v>1813.1237446385044</v>
      </c>
      <c r="I98" s="8">
        <f t="shared" si="6"/>
        <v>1769.405394918208</v>
      </c>
      <c r="J98" s="8">
        <f t="shared" si="7"/>
        <v>43.718349720296374</v>
      </c>
      <c r="K98" s="8">
        <f t="shared" si="8"/>
        <v>1560.8613427221369</v>
      </c>
      <c r="L98" s="8">
        <f t="shared" si="9"/>
        <v>38.565657277863011</v>
      </c>
      <c r="M98" s="8"/>
      <c r="N98" s="8"/>
    </row>
    <row r="99" spans="5:14" x14ac:dyDescent="0.25">
      <c r="E99" s="7">
        <v>36192</v>
      </c>
      <c r="F99" s="8">
        <f>Data!$B99</f>
        <v>1548.8040000000001</v>
      </c>
      <c r="G99" s="8">
        <v>0.86250799894332886</v>
      </c>
      <c r="H99" s="8">
        <f t="shared" si="5"/>
        <v>1795.6981290578899</v>
      </c>
      <c r="I99" s="8">
        <f t="shared" si="6"/>
        <v>1772.1541116772798</v>
      </c>
      <c r="J99" s="8">
        <f t="shared" si="7"/>
        <v>23.544017380610057</v>
      </c>
      <c r="K99" s="8">
        <f t="shared" si="8"/>
        <v>1528.4970966819633</v>
      </c>
      <c r="L99" s="8">
        <f t="shared" si="9"/>
        <v>20.306903318036802</v>
      </c>
      <c r="M99" s="8"/>
      <c r="N99" s="8"/>
    </row>
    <row r="100" spans="5:14" x14ac:dyDescent="0.25">
      <c r="E100" s="7">
        <v>36220</v>
      </c>
      <c r="F100" s="8">
        <f>Data!$B100</f>
        <v>1832.3330000000001</v>
      </c>
      <c r="G100" s="8">
        <v>1.0256878137588501</v>
      </c>
      <c r="H100" s="8">
        <f t="shared" si="5"/>
        <v>1786.4431802938439</v>
      </c>
      <c r="I100" s="8">
        <f t="shared" si="6"/>
        <v>1785.3050042068523</v>
      </c>
      <c r="J100" s="8">
        <f t="shared" si="7"/>
        <v>1.138176086991507</v>
      </c>
      <c r="K100" s="8">
        <f t="shared" si="8"/>
        <v>1831.1655866576612</v>
      </c>
      <c r="L100" s="8">
        <f t="shared" si="9"/>
        <v>1.1674133423389321</v>
      </c>
      <c r="M100" s="8"/>
      <c r="N100" s="8"/>
    </row>
    <row r="101" spans="5:14" x14ac:dyDescent="0.25">
      <c r="E101" s="7">
        <v>36251</v>
      </c>
      <c r="F101" s="8">
        <f>Data!$B101</f>
        <v>1839.72</v>
      </c>
      <c r="G101" s="8">
        <v>1.0355126857757568</v>
      </c>
      <c r="H101" s="8">
        <f t="shared" si="5"/>
        <v>1776.6271966255724</v>
      </c>
      <c r="I101" s="8">
        <f t="shared" si="6"/>
        <v>1791.6171912548846</v>
      </c>
      <c r="J101" s="8">
        <f t="shared" si="7"/>
        <v>-14.98999462931215</v>
      </c>
      <c r="K101" s="8">
        <f t="shared" si="8"/>
        <v>1855.2423295983633</v>
      </c>
      <c r="L101" s="8">
        <f t="shared" si="9"/>
        <v>-15.522329598363285</v>
      </c>
      <c r="M101" s="8"/>
      <c r="N101" s="8"/>
    </row>
    <row r="102" spans="5:14" x14ac:dyDescent="0.25">
      <c r="E102" s="7">
        <v>36281</v>
      </c>
      <c r="F102" s="8">
        <f>Data!$B102</f>
        <v>1846.498</v>
      </c>
      <c r="G102" s="8">
        <v>1.0446906089782715</v>
      </c>
      <c r="H102" s="8">
        <f t="shared" si="5"/>
        <v>1767.507034265305</v>
      </c>
      <c r="I102" s="8">
        <f t="shared" si="6"/>
        <v>1792.8072619804886</v>
      </c>
      <c r="J102" s="8">
        <f t="shared" si="7"/>
        <v>-25.30022771518361</v>
      </c>
      <c r="K102" s="8">
        <f t="shared" si="8"/>
        <v>1872.9289102990642</v>
      </c>
      <c r="L102" s="8">
        <f t="shared" si="9"/>
        <v>-26.43091029906418</v>
      </c>
      <c r="M102" s="8"/>
      <c r="N102" s="8"/>
    </row>
    <row r="103" spans="5:14" x14ac:dyDescent="0.25">
      <c r="E103" s="7">
        <v>36312</v>
      </c>
      <c r="F103" s="8">
        <f>Data!$B103</f>
        <v>1864.8520000000001</v>
      </c>
      <c r="G103" s="8">
        <v>1.0266433954238892</v>
      </c>
      <c r="H103" s="8">
        <f t="shared" si="5"/>
        <v>1816.4554589376423</v>
      </c>
      <c r="I103" s="8">
        <f t="shared" si="6"/>
        <v>1793.0632388834763</v>
      </c>
      <c r="J103" s="8">
        <f t="shared" si="7"/>
        <v>23.392220054166046</v>
      </c>
      <c r="K103" s="8">
        <f t="shared" si="8"/>
        <v>1840.8365317770881</v>
      </c>
      <c r="L103" s="8">
        <f t="shared" si="9"/>
        <v>24.015468222911977</v>
      </c>
      <c r="M103" s="8"/>
      <c r="N103" s="8"/>
    </row>
    <row r="104" spans="5:14" x14ac:dyDescent="0.25">
      <c r="E104" s="7">
        <v>36342</v>
      </c>
      <c r="F104" s="8">
        <f>Data!$B104</f>
        <v>1965.7429999999999</v>
      </c>
      <c r="G104" s="8">
        <v>1.0838872194290161</v>
      </c>
      <c r="H104" s="8">
        <f t="shared" si="5"/>
        <v>1813.6047411238403</v>
      </c>
      <c r="I104" s="8">
        <f t="shared" si="6"/>
        <v>1796.2198039391824</v>
      </c>
      <c r="J104" s="8">
        <f t="shared" si="7"/>
        <v>17.384937184657929</v>
      </c>
      <c r="K104" s="8">
        <f t="shared" si="8"/>
        <v>1946.8996887749729</v>
      </c>
      <c r="L104" s="8">
        <f t="shared" si="9"/>
        <v>18.843311225027037</v>
      </c>
      <c r="M104" s="8"/>
      <c r="N104" s="8"/>
    </row>
    <row r="105" spans="5:14" x14ac:dyDescent="0.25">
      <c r="E105" s="7">
        <v>36373</v>
      </c>
      <c r="F105" s="8">
        <f>Data!$B105</f>
        <v>1949.002</v>
      </c>
      <c r="G105" s="8">
        <v>1.1051819324493408</v>
      </c>
      <c r="H105" s="8">
        <f t="shared" si="5"/>
        <v>1763.5123618792402</v>
      </c>
      <c r="I105" s="8">
        <f t="shared" si="6"/>
        <v>1796.0330532671212</v>
      </c>
      <c r="J105" s="8">
        <f t="shared" si="7"/>
        <v>-32.520691387881016</v>
      </c>
      <c r="K105" s="8">
        <f t="shared" si="8"/>
        <v>1984.9432805526469</v>
      </c>
      <c r="L105" s="8">
        <f t="shared" si="9"/>
        <v>-35.941280552646958</v>
      </c>
      <c r="M105" s="8"/>
      <c r="N105" s="8"/>
    </row>
    <row r="106" spans="5:14" x14ac:dyDescent="0.25">
      <c r="E106" s="7">
        <v>36404</v>
      </c>
      <c r="F106" s="8">
        <f>Data!$B106</f>
        <v>1607.373</v>
      </c>
      <c r="G106" s="8">
        <v>0.92445313930511475</v>
      </c>
      <c r="H106" s="8">
        <f t="shared" si="5"/>
        <v>1738.7284781229871</v>
      </c>
      <c r="I106" s="8">
        <f t="shared" si="6"/>
        <v>1798.0958358127491</v>
      </c>
      <c r="J106" s="8">
        <f t="shared" si="7"/>
        <v>-59.367357689762002</v>
      </c>
      <c r="K106" s="8">
        <f t="shared" si="8"/>
        <v>1662.25534018855</v>
      </c>
      <c r="L106" s="8">
        <f t="shared" si="9"/>
        <v>-54.882340188549961</v>
      </c>
      <c r="M106" s="8"/>
      <c r="N106" s="8"/>
    </row>
    <row r="107" spans="5:14" x14ac:dyDescent="0.25">
      <c r="E107" s="7">
        <v>36434</v>
      </c>
      <c r="F107" s="8">
        <f>Data!$B107</f>
        <v>1803.664</v>
      </c>
      <c r="G107" s="8">
        <v>0.99956631660461426</v>
      </c>
      <c r="H107" s="8">
        <f t="shared" si="5"/>
        <v>1804.4465585102869</v>
      </c>
      <c r="I107" s="8">
        <f t="shared" si="6"/>
        <v>1792.4867539535746</v>
      </c>
      <c r="J107" s="8">
        <f t="shared" si="7"/>
        <v>11.959804556712243</v>
      </c>
      <c r="K107" s="8">
        <f t="shared" si="8"/>
        <v>1791.7093822119361</v>
      </c>
      <c r="L107" s="8">
        <f t="shared" si="9"/>
        <v>11.954617788063842</v>
      </c>
      <c r="M107" s="8"/>
      <c r="N107" s="8"/>
    </row>
    <row r="108" spans="5:14" x14ac:dyDescent="0.25">
      <c r="E108" s="7">
        <v>36465</v>
      </c>
      <c r="F108" s="8">
        <f>Data!$B108</f>
        <v>1850.309</v>
      </c>
      <c r="G108" s="8">
        <v>0.99299192428588867</v>
      </c>
      <c r="H108" s="8">
        <f t="shared" si="5"/>
        <v>1863.3676213738111</v>
      </c>
      <c r="I108" s="8">
        <f t="shared" si="6"/>
        <v>1793.5030280280992</v>
      </c>
      <c r="J108" s="8">
        <f t="shared" si="7"/>
        <v>69.86459334571191</v>
      </c>
      <c r="K108" s="8">
        <f t="shared" si="8"/>
        <v>1780.9340230141902</v>
      </c>
      <c r="L108" s="8">
        <f t="shared" si="9"/>
        <v>69.374976985809781</v>
      </c>
      <c r="M108" s="8"/>
      <c r="N108" s="8"/>
    </row>
    <row r="109" spans="5:14" x14ac:dyDescent="0.25">
      <c r="E109" s="7">
        <v>36495</v>
      </c>
      <c r="F109" s="8">
        <f>Data!$B109</f>
        <v>1836.4349999999999</v>
      </c>
      <c r="G109" s="8">
        <v>1.0167368650436401</v>
      </c>
      <c r="H109" s="8">
        <f t="shared" si="5"/>
        <v>1806.2047941196436</v>
      </c>
      <c r="I109" s="8">
        <f t="shared" si="6"/>
        <v>1796.3223695200725</v>
      </c>
      <c r="J109" s="8">
        <f t="shared" si="7"/>
        <v>9.8824245995710953</v>
      </c>
      <c r="K109" s="8">
        <f t="shared" si="8"/>
        <v>1826.3871745936017</v>
      </c>
      <c r="L109" s="8">
        <f t="shared" si="9"/>
        <v>10.04782540639826</v>
      </c>
      <c r="M109" s="8"/>
      <c r="N109" s="8"/>
    </row>
    <row r="110" spans="5:14" x14ac:dyDescent="0.25">
      <c r="E110" s="7">
        <v>36526</v>
      </c>
      <c r="F110" s="8">
        <f>Data!$B110</f>
        <v>1541.66</v>
      </c>
      <c r="G110" s="8">
        <v>0.88213890790939331</v>
      </c>
      <c r="H110" s="8">
        <f t="shared" si="5"/>
        <v>1747.6385931708023</v>
      </c>
      <c r="I110" s="8">
        <f t="shared" si="6"/>
        <v>1795.4766082457138</v>
      </c>
      <c r="J110" s="8">
        <f t="shared" si="7"/>
        <v>-47.838015074911482</v>
      </c>
      <c r="K110" s="8">
        <f t="shared" si="8"/>
        <v>1583.8597743747355</v>
      </c>
      <c r="L110" s="8">
        <f t="shared" si="9"/>
        <v>-42.199774374735398</v>
      </c>
      <c r="M110" s="8"/>
      <c r="N110" s="8"/>
    </row>
    <row r="111" spans="5:14" x14ac:dyDescent="0.25">
      <c r="E111" s="7">
        <v>36557</v>
      </c>
      <c r="F111" s="8">
        <f>Data!$B111</f>
        <v>1616.9280000000001</v>
      </c>
      <c r="G111" s="8">
        <v>0.86250799894332886</v>
      </c>
      <c r="H111" s="8">
        <f t="shared" si="5"/>
        <v>1874.6817443790924</v>
      </c>
      <c r="I111" s="8">
        <f t="shared" si="6"/>
        <v>1790.019512290072</v>
      </c>
      <c r="J111" s="8">
        <f t="shared" si="7"/>
        <v>84.662232089020335</v>
      </c>
      <c r="K111" s="8">
        <f t="shared" si="8"/>
        <v>1543.9061476148236</v>
      </c>
      <c r="L111" s="8">
        <f t="shared" si="9"/>
        <v>73.021852385176544</v>
      </c>
      <c r="M111" s="8"/>
      <c r="N111" s="8"/>
    </row>
    <row r="112" spans="5:14" x14ac:dyDescent="0.25">
      <c r="E112" s="7">
        <v>36586</v>
      </c>
      <c r="F112" s="8">
        <f>Data!$B112</f>
        <v>1919.538</v>
      </c>
      <c r="G112" s="8">
        <v>1.0256878137588501</v>
      </c>
      <c r="H112" s="8">
        <f t="shared" si="5"/>
        <v>1871.4641767707533</v>
      </c>
      <c r="I112" s="8">
        <f t="shared" si="6"/>
        <v>1796.6014802335058</v>
      </c>
      <c r="J112" s="8">
        <f t="shared" si="7"/>
        <v>74.86269653724753</v>
      </c>
      <c r="K112" s="8">
        <f t="shared" si="8"/>
        <v>1842.7522444566184</v>
      </c>
      <c r="L112" s="8">
        <f t="shared" si="9"/>
        <v>76.785755543381583</v>
      </c>
      <c r="M112" s="8"/>
      <c r="N112" s="8"/>
    </row>
    <row r="113" spans="5:14" x14ac:dyDescent="0.25">
      <c r="E113" s="7">
        <v>36617</v>
      </c>
      <c r="F113" s="8">
        <f>Data!$B113</f>
        <v>1971.4929999999999</v>
      </c>
      <c r="G113" s="8">
        <v>1.0355126857757568</v>
      </c>
      <c r="H113" s="8">
        <f t="shared" si="5"/>
        <v>1903.8810698133082</v>
      </c>
      <c r="I113" s="8">
        <f t="shared" si="6"/>
        <v>1803.6865632732481</v>
      </c>
      <c r="J113" s="8">
        <f t="shared" si="7"/>
        <v>100.19450654006005</v>
      </c>
      <c r="K113" s="8">
        <f t="shared" si="8"/>
        <v>1867.7403174327258</v>
      </c>
      <c r="L113" s="8">
        <f t="shared" si="9"/>
        <v>103.75268256727418</v>
      </c>
      <c r="M113" s="8"/>
      <c r="N113" s="8"/>
    </row>
    <row r="114" spans="5:14" x14ac:dyDescent="0.25">
      <c r="E114" s="7">
        <v>36647</v>
      </c>
      <c r="F114" s="8">
        <f>Data!$B114</f>
        <v>1992.3009999999999</v>
      </c>
      <c r="G114" s="8">
        <v>1.0446906089782715</v>
      </c>
      <c r="H114" s="8">
        <f t="shared" si="5"/>
        <v>1907.0727571185028</v>
      </c>
      <c r="I114" s="8">
        <f t="shared" si="6"/>
        <v>1814.2910527055594</v>
      </c>
      <c r="J114" s="8">
        <f t="shared" si="7"/>
        <v>92.781704412943327</v>
      </c>
      <c r="K114" s="8">
        <f t="shared" si="8"/>
        <v>1895.3728247148001</v>
      </c>
      <c r="L114" s="8">
        <f t="shared" si="9"/>
        <v>96.928175285199814</v>
      </c>
      <c r="M114" s="8"/>
      <c r="N114" s="8"/>
    </row>
    <row r="115" spans="5:14" x14ac:dyDescent="0.25">
      <c r="E115" s="7">
        <v>36678</v>
      </c>
      <c r="F115" s="8">
        <f>Data!$B115</f>
        <v>2009.7629999999999</v>
      </c>
      <c r="G115" s="8">
        <v>1.0266433954238892</v>
      </c>
      <c r="H115" s="8">
        <f t="shared" si="5"/>
        <v>1957.6057362841086</v>
      </c>
      <c r="I115" s="8">
        <f t="shared" si="6"/>
        <v>1825.9215296099926</v>
      </c>
      <c r="J115" s="8">
        <f t="shared" si="7"/>
        <v>131.68420667411601</v>
      </c>
      <c r="K115" s="8">
        <f t="shared" si="8"/>
        <v>1874.5702789363843</v>
      </c>
      <c r="L115" s="8">
        <f t="shared" si="9"/>
        <v>135.19272106361564</v>
      </c>
      <c r="M115" s="8"/>
      <c r="N115" s="8"/>
    </row>
    <row r="116" spans="5:14" x14ac:dyDescent="0.25">
      <c r="E116" s="7">
        <v>36708</v>
      </c>
      <c r="F116" s="8">
        <f>Data!$B116</f>
        <v>2053.9960000000001</v>
      </c>
      <c r="G116" s="8">
        <v>1.0838872194290161</v>
      </c>
      <c r="H116" s="8">
        <f t="shared" si="5"/>
        <v>1895.0274190722816</v>
      </c>
      <c r="I116" s="8">
        <f t="shared" si="6"/>
        <v>1837.6840527221977</v>
      </c>
      <c r="J116" s="8">
        <f t="shared" si="7"/>
        <v>57.343366350083897</v>
      </c>
      <c r="K116" s="8">
        <f t="shared" si="8"/>
        <v>1991.8422580941083</v>
      </c>
      <c r="L116" s="8">
        <f t="shared" si="9"/>
        <v>62.15374190589182</v>
      </c>
      <c r="M116" s="8"/>
      <c r="N116" s="8"/>
    </row>
    <row r="117" spans="5:14" x14ac:dyDescent="0.25">
      <c r="E117" s="7">
        <v>36739</v>
      </c>
      <c r="F117" s="8">
        <f>Data!$B117</f>
        <v>2097.471</v>
      </c>
      <c r="G117" s="8">
        <v>1.1051819324493408</v>
      </c>
      <c r="H117" s="8">
        <f t="shared" si="5"/>
        <v>1897.8513296462559</v>
      </c>
      <c r="I117" s="8">
        <f t="shared" si="6"/>
        <v>1844.4692758845679</v>
      </c>
      <c r="J117" s="8">
        <f t="shared" si="7"/>
        <v>53.382053761687985</v>
      </c>
      <c r="K117" s="8">
        <f t="shared" si="8"/>
        <v>2038.4741186655431</v>
      </c>
      <c r="L117" s="8">
        <f t="shared" si="9"/>
        <v>58.99688133445693</v>
      </c>
      <c r="M117" s="8"/>
      <c r="N117" s="8"/>
    </row>
    <row r="118" spans="5:14" x14ac:dyDescent="0.25">
      <c r="E118" s="7">
        <v>36770</v>
      </c>
      <c r="F118" s="8">
        <f>Data!$B118</f>
        <v>1823.7059999999999</v>
      </c>
      <c r="G118" s="8">
        <v>0.92445313930511475</v>
      </c>
      <c r="H118" s="8">
        <f t="shared" si="5"/>
        <v>1972.7403396248164</v>
      </c>
      <c r="I118" s="8">
        <f t="shared" si="6"/>
        <v>1855.6641898651526</v>
      </c>
      <c r="J118" s="8">
        <f t="shared" si="7"/>
        <v>117.07614975966385</v>
      </c>
      <c r="K118" s="8">
        <f t="shared" si="8"/>
        <v>1715.4745858169229</v>
      </c>
      <c r="L118" s="8">
        <f t="shared" si="9"/>
        <v>108.23141418307705</v>
      </c>
      <c r="M118" s="8"/>
      <c r="N118" s="8"/>
    </row>
    <row r="119" spans="5:14" x14ac:dyDescent="0.25">
      <c r="E119" s="7">
        <v>36800</v>
      </c>
      <c r="F119" s="8">
        <f>Data!$B119</f>
        <v>1976.9970000000001</v>
      </c>
      <c r="G119" s="8">
        <v>0.99956631660461426</v>
      </c>
      <c r="H119" s="8">
        <f t="shared" si="5"/>
        <v>1977.8547627690975</v>
      </c>
      <c r="I119" s="8">
        <f t="shared" si="6"/>
        <v>1875.1651783236382</v>
      </c>
      <c r="J119" s="8">
        <f t="shared" si="7"/>
        <v>102.68958444545933</v>
      </c>
      <c r="K119" s="8">
        <f t="shared" si="8"/>
        <v>1874.3519503221937</v>
      </c>
      <c r="L119" s="8">
        <f t="shared" si="9"/>
        <v>102.64504967780636</v>
      </c>
      <c r="M119" s="8"/>
      <c r="N119" s="8"/>
    </row>
    <row r="120" spans="5:14" x14ac:dyDescent="0.25">
      <c r="E120" s="7">
        <v>36831</v>
      </c>
      <c r="F120" s="8">
        <f>Data!$B120</f>
        <v>1981.4079999999999</v>
      </c>
      <c r="G120" s="8">
        <v>0.99299192428588867</v>
      </c>
      <c r="H120" s="8">
        <f t="shared" si="5"/>
        <v>1995.3918572146815</v>
      </c>
      <c r="I120" s="8">
        <f t="shared" si="6"/>
        <v>1889.6158620118729</v>
      </c>
      <c r="J120" s="8">
        <f t="shared" si="7"/>
        <v>105.77599520280864</v>
      </c>
      <c r="K120" s="8">
        <f t="shared" si="8"/>
        <v>1876.373290980308</v>
      </c>
      <c r="L120" s="8">
        <f t="shared" si="9"/>
        <v>105.03470901969195</v>
      </c>
      <c r="M120" s="8"/>
      <c r="N120" s="8"/>
    </row>
    <row r="121" spans="5:14" x14ac:dyDescent="0.25">
      <c r="E121" s="7">
        <v>36861</v>
      </c>
      <c r="F121" s="8">
        <f>Data!$B121</f>
        <v>2000.153</v>
      </c>
      <c r="G121" s="8">
        <v>1.0167368650436401</v>
      </c>
      <c r="H121" s="8">
        <f t="shared" si="5"/>
        <v>1967.2277742325689</v>
      </c>
      <c r="I121" s="8">
        <f t="shared" si="6"/>
        <v>1900.6178816652789</v>
      </c>
      <c r="J121" s="8">
        <f t="shared" si="7"/>
        <v>66.60989256728999</v>
      </c>
      <c r="K121" s="8">
        <f t="shared" si="8"/>
        <v>1932.4282666502399</v>
      </c>
      <c r="L121" s="8">
        <f t="shared" si="9"/>
        <v>67.724733349760072</v>
      </c>
      <c r="M121" s="8"/>
      <c r="N121" s="8"/>
    </row>
    <row r="122" spans="5:14" x14ac:dyDescent="0.25">
      <c r="E122" s="7">
        <v>36892</v>
      </c>
      <c r="F122" s="8">
        <f>Data!$B122</f>
        <v>1683.1479999999999</v>
      </c>
      <c r="G122" s="8">
        <v>0.88213890790939331</v>
      </c>
      <c r="H122" s="8">
        <f t="shared" si="5"/>
        <v>1908.0305662845565</v>
      </c>
      <c r="I122" s="8">
        <f t="shared" si="6"/>
        <v>1914.0364633413558</v>
      </c>
      <c r="J122" s="8">
        <f t="shared" si="7"/>
        <v>-6.0058970567993128</v>
      </c>
      <c r="K122" s="8">
        <f t="shared" si="8"/>
        <v>1688.4460354707012</v>
      </c>
      <c r="L122" s="8">
        <f t="shared" si="9"/>
        <v>-5.2980354707012793</v>
      </c>
      <c r="M122" s="8"/>
      <c r="N122" s="8"/>
    </row>
    <row r="123" spans="5:14" x14ac:dyDescent="0.25">
      <c r="E123" s="7">
        <v>36923</v>
      </c>
      <c r="F123" s="8">
        <f>Data!$B123</f>
        <v>1663.404</v>
      </c>
      <c r="G123" s="8">
        <v>0.86250799894332886</v>
      </c>
      <c r="H123" s="8">
        <f t="shared" si="5"/>
        <v>1928.5664620361324</v>
      </c>
      <c r="I123" s="8">
        <f t="shared" si="6"/>
        <v>1927.4024611008354</v>
      </c>
      <c r="J123" s="8">
        <f t="shared" si="7"/>
        <v>1.1640009352970537</v>
      </c>
      <c r="K123" s="8">
        <f t="shared" si="8"/>
        <v>1662.4000398825287</v>
      </c>
      <c r="L123" s="8">
        <f t="shared" si="9"/>
        <v>1.0039601174712516</v>
      </c>
      <c r="M123" s="8"/>
      <c r="N123" s="8"/>
    </row>
    <row r="124" spans="5:14" x14ac:dyDescent="0.25">
      <c r="E124" s="7">
        <v>36951</v>
      </c>
      <c r="F124" s="8">
        <f>Data!$B124</f>
        <v>2007.9280000000001</v>
      </c>
      <c r="G124" s="8">
        <v>1.0256878137588501</v>
      </c>
      <c r="H124" s="8">
        <f t="shared" si="5"/>
        <v>1957.6404955436908</v>
      </c>
      <c r="I124" s="8">
        <f t="shared" si="6"/>
        <v>1931.8928542389219</v>
      </c>
      <c r="J124" s="8">
        <f t="shared" si="7"/>
        <v>25.747641304768877</v>
      </c>
      <c r="K124" s="8">
        <f t="shared" si="8"/>
        <v>1981.5189580806648</v>
      </c>
      <c r="L124" s="8">
        <f t="shared" si="9"/>
        <v>26.409041919335323</v>
      </c>
      <c r="M124" s="8"/>
      <c r="N124" s="8"/>
    </row>
    <row r="125" spans="5:14" x14ac:dyDescent="0.25">
      <c r="E125" s="7">
        <v>36982</v>
      </c>
      <c r="F125" s="8">
        <f>Data!$B125</f>
        <v>2023.7919999999999</v>
      </c>
      <c r="G125" s="8">
        <v>1.0355126857757568</v>
      </c>
      <c r="H125" s="8">
        <f t="shared" si="5"/>
        <v>1954.3864868095473</v>
      </c>
      <c r="I125" s="8">
        <f t="shared" si="6"/>
        <v>1939.0742141366666</v>
      </c>
      <c r="J125" s="8">
        <f t="shared" si="7"/>
        <v>15.312272672880681</v>
      </c>
      <c r="K125" s="8">
        <f t="shared" si="8"/>
        <v>2007.9359473991747</v>
      </c>
      <c r="L125" s="8">
        <f t="shared" si="9"/>
        <v>15.856052600825251</v>
      </c>
      <c r="M125" s="8"/>
      <c r="N125" s="8"/>
    </row>
    <row r="126" spans="5:14" x14ac:dyDescent="0.25">
      <c r="E126" s="7">
        <v>37012</v>
      </c>
      <c r="F126" s="8">
        <f>Data!$B126</f>
        <v>2047.008</v>
      </c>
      <c r="G126" s="8">
        <v>1.0446906089782715</v>
      </c>
      <c r="H126" s="8">
        <f t="shared" si="5"/>
        <v>1959.4394573930508</v>
      </c>
      <c r="I126" s="8">
        <f t="shared" si="6"/>
        <v>1943.2829988863534</v>
      </c>
      <c r="J126" s="8">
        <f t="shared" si="7"/>
        <v>16.15645850669739</v>
      </c>
      <c r="K126" s="8">
        <f t="shared" si="8"/>
        <v>2030.1294995237063</v>
      </c>
      <c r="L126" s="8">
        <f t="shared" si="9"/>
        <v>16.878500476293766</v>
      </c>
      <c r="M126" s="8"/>
      <c r="N126" s="8"/>
    </row>
    <row r="127" spans="5:14" x14ac:dyDescent="0.25">
      <c r="E127" s="7">
        <v>37043</v>
      </c>
      <c r="F127" s="8">
        <f>Data!$B127</f>
        <v>2072.913</v>
      </c>
      <c r="G127" s="8">
        <v>1.0266433954238892</v>
      </c>
      <c r="H127" s="8">
        <f t="shared" si="5"/>
        <v>2019.11687080412</v>
      </c>
      <c r="I127" s="8">
        <f t="shared" si="6"/>
        <v>1947.6468905758993</v>
      </c>
      <c r="J127" s="8">
        <f t="shared" si="7"/>
        <v>71.46998022822072</v>
      </c>
      <c r="K127" s="8">
        <f t="shared" si="8"/>
        <v>1999.5388168276211</v>
      </c>
      <c r="L127" s="8">
        <f t="shared" si="9"/>
        <v>73.374183172378935</v>
      </c>
      <c r="M127" s="8"/>
      <c r="N127" s="8"/>
    </row>
    <row r="128" spans="5:14" x14ac:dyDescent="0.25">
      <c r="E128" s="7">
        <v>37073</v>
      </c>
      <c r="F128" s="8">
        <f>Data!$B128</f>
        <v>2126.7170000000001</v>
      </c>
      <c r="G128" s="8">
        <v>1.0838872194290161</v>
      </c>
      <c r="H128" s="8">
        <f t="shared" si="5"/>
        <v>1962.1201928373498</v>
      </c>
      <c r="I128" s="8">
        <f t="shared" si="6"/>
        <v>1952.7728184525668</v>
      </c>
      <c r="J128" s="8">
        <f t="shared" si="7"/>
        <v>9.3473743847830519</v>
      </c>
      <c r="K128" s="8">
        <f t="shared" si="8"/>
        <v>2116.5855003691154</v>
      </c>
      <c r="L128" s="8">
        <f t="shared" si="9"/>
        <v>10.131499630884718</v>
      </c>
      <c r="M128" s="8"/>
      <c r="N128" s="8"/>
    </row>
    <row r="129" spans="5:14" x14ac:dyDescent="0.25">
      <c r="E129" s="7">
        <v>37104</v>
      </c>
      <c r="F129" s="8">
        <f>Data!$B129</f>
        <v>2202.6379999999999</v>
      </c>
      <c r="G129" s="8">
        <v>1.1051819324493408</v>
      </c>
      <c r="H129" s="8">
        <f t="shared" si="5"/>
        <v>1993.0094180226422</v>
      </c>
      <c r="I129" s="8">
        <f t="shared" si="6"/>
        <v>1958.3638829329886</v>
      </c>
      <c r="J129" s="8">
        <f t="shared" si="7"/>
        <v>34.645535089653549</v>
      </c>
      <c r="K129" s="8">
        <f t="shared" si="8"/>
        <v>2164.3483805788751</v>
      </c>
      <c r="L129" s="8">
        <f t="shared" si="9"/>
        <v>38.289619421124826</v>
      </c>
      <c r="M129" s="8"/>
      <c r="N129" s="8"/>
    </row>
    <row r="130" spans="5:14" x14ac:dyDescent="0.25">
      <c r="E130" s="7">
        <v>37135</v>
      </c>
      <c r="F130" s="8">
        <f>Data!$B130</f>
        <v>1707.693</v>
      </c>
      <c r="G130" s="8">
        <v>0.92445313930511475</v>
      </c>
      <c r="H130" s="8">
        <f t="shared" si="5"/>
        <v>1847.246688224375</v>
      </c>
      <c r="I130" s="8">
        <f t="shared" si="6"/>
        <v>1966.2937236310208</v>
      </c>
      <c r="J130" s="8">
        <f t="shared" si="7"/>
        <v>-119.04703540664582</v>
      </c>
      <c r="K130" s="8">
        <f t="shared" si="8"/>
        <v>1817.7464056066408</v>
      </c>
      <c r="L130" s="8">
        <f t="shared" si="9"/>
        <v>-110.05340560664081</v>
      </c>
      <c r="M130" s="8"/>
      <c r="N130" s="8"/>
    </row>
    <row r="131" spans="5:14" x14ac:dyDescent="0.25">
      <c r="E131" s="7">
        <v>37165</v>
      </c>
      <c r="F131" s="8">
        <f>Data!$B131</f>
        <v>1950.7159999999999</v>
      </c>
      <c r="G131" s="8">
        <v>0.99956631660461426</v>
      </c>
      <c r="H131" s="8">
        <f t="shared" ref="H131:H160" si="10">F131/G131</f>
        <v>1951.5623601906743</v>
      </c>
      <c r="I131" s="8">
        <f t="shared" si="6"/>
        <v>1955.8359193476508</v>
      </c>
      <c r="J131" s="8">
        <f t="shared" si="7"/>
        <v>-4.2735591569764892</v>
      </c>
      <c r="K131" s="8">
        <f t="shared" si="8"/>
        <v>1954.9877057853307</v>
      </c>
      <c r="L131" s="8">
        <f t="shared" si="9"/>
        <v>-4.2717057853308233</v>
      </c>
      <c r="M131" s="8"/>
      <c r="N131" s="8"/>
    </row>
    <row r="132" spans="5:14" x14ac:dyDescent="0.25">
      <c r="E132" s="7">
        <v>37196</v>
      </c>
      <c r="F132" s="8">
        <f>Data!$B132</f>
        <v>1973.614</v>
      </c>
      <c r="G132" s="8">
        <v>0.99299192428588867</v>
      </c>
      <c r="H132" s="8">
        <f t="shared" si="10"/>
        <v>1987.5428507833303</v>
      </c>
      <c r="I132" s="8">
        <f t="shared" si="6"/>
        <v>1953.644885799449</v>
      </c>
      <c r="J132" s="8">
        <f t="shared" si="7"/>
        <v>33.897964983881366</v>
      </c>
      <c r="K132" s="8">
        <f t="shared" si="8"/>
        <v>1939.9535945212801</v>
      </c>
      <c r="L132" s="8">
        <f t="shared" si="9"/>
        <v>33.660405478719895</v>
      </c>
      <c r="M132" s="8"/>
      <c r="N132" s="8"/>
    </row>
    <row r="133" spans="5:14" x14ac:dyDescent="0.25">
      <c r="E133" s="7">
        <v>37226</v>
      </c>
      <c r="F133" s="8">
        <f>Data!$B133</f>
        <v>1984.729</v>
      </c>
      <c r="G133" s="8">
        <v>1.0167368650436401</v>
      </c>
      <c r="H133" s="8">
        <f t="shared" si="10"/>
        <v>1952.0576741503437</v>
      </c>
      <c r="I133" s="8">
        <f t="shared" si="6"/>
        <v>1952.9908019301699</v>
      </c>
      <c r="J133" s="8">
        <f t="shared" si="7"/>
        <v>-0.93312777982623629</v>
      </c>
      <c r="K133" s="8">
        <f t="shared" si="8"/>
        <v>1985.6777454135456</v>
      </c>
      <c r="L133" s="8">
        <f t="shared" si="9"/>
        <v>-0.94874541354556641</v>
      </c>
      <c r="M133" s="8"/>
      <c r="N133" s="8"/>
    </row>
    <row r="134" spans="5:14" x14ac:dyDescent="0.25">
      <c r="E134" s="7">
        <v>37257</v>
      </c>
      <c r="F134" s="8">
        <f>Data!$B134</f>
        <v>1759.6289999999999</v>
      </c>
      <c r="G134" s="8">
        <v>0.88213890790939331</v>
      </c>
      <c r="H134" s="8">
        <f t="shared" si="10"/>
        <v>1994.7300637381429</v>
      </c>
      <c r="I134" s="8">
        <f t="shared" si="6"/>
        <v>1951.7266269233178</v>
      </c>
      <c r="J134" s="8">
        <f t="shared" si="7"/>
        <v>43.003436814825136</v>
      </c>
      <c r="K134" s="8">
        <f t="shared" si="8"/>
        <v>1721.6939952118194</v>
      </c>
      <c r="L134" s="8">
        <f t="shared" si="9"/>
        <v>37.935004788180549</v>
      </c>
      <c r="M134" s="8"/>
      <c r="N134" s="8"/>
    </row>
    <row r="135" spans="5:14" x14ac:dyDescent="0.25">
      <c r="E135" s="7">
        <v>37288</v>
      </c>
      <c r="F135" s="8">
        <f>Data!$B135</f>
        <v>1770.595</v>
      </c>
      <c r="G135" s="8">
        <v>0.86250799894332886</v>
      </c>
      <c r="H135" s="8">
        <f t="shared" si="10"/>
        <v>2052.8447297522825</v>
      </c>
      <c r="I135" s="8">
        <f t="shared" si="6"/>
        <v>1958.9515850444498</v>
      </c>
      <c r="J135" s="8">
        <f t="shared" si="7"/>
        <v>93.893144707832789</v>
      </c>
      <c r="K135" s="8">
        <f t="shared" si="8"/>
        <v>1689.6114116435506</v>
      </c>
      <c r="L135" s="8">
        <f t="shared" si="9"/>
        <v>80.983588356449445</v>
      </c>
      <c r="M135" s="8"/>
      <c r="N135" s="8"/>
    </row>
    <row r="136" spans="5:14" x14ac:dyDescent="0.25">
      <c r="E136" s="7">
        <v>37316</v>
      </c>
      <c r="F136" s="8">
        <f>Data!$B136</f>
        <v>2019.912</v>
      </c>
      <c r="G136" s="8">
        <v>1.0256878137588501</v>
      </c>
      <c r="H136" s="8">
        <f t="shared" si="10"/>
        <v>1969.3243625441985</v>
      </c>
      <c r="I136" s="8">
        <f t="shared" si="6"/>
        <v>1969.3081073541291</v>
      </c>
      <c r="J136" s="8">
        <f t="shared" si="7"/>
        <v>1.6255190069387027E-2</v>
      </c>
      <c r="K136" s="8">
        <f t="shared" si="8"/>
        <v>2019.8953272496356</v>
      </c>
      <c r="L136" s="8">
        <f t="shared" si="9"/>
        <v>1.6672750364477906E-2</v>
      </c>
      <c r="M136" s="8"/>
      <c r="N136" s="8"/>
    </row>
    <row r="137" spans="5:14" x14ac:dyDescent="0.25">
      <c r="E137" s="7">
        <v>37347</v>
      </c>
      <c r="F137" s="8">
        <f>Data!$B137</f>
        <v>2048.3980000000001</v>
      </c>
      <c r="G137" s="8">
        <v>1.0355126857757568</v>
      </c>
      <c r="H137" s="8">
        <f t="shared" si="10"/>
        <v>1978.1486293095847</v>
      </c>
      <c r="I137" s="8">
        <f t="shared" si="6"/>
        <v>1970.2817629375047</v>
      </c>
      <c r="J137" s="8">
        <f t="shared" si="7"/>
        <v>7.8668663720800396</v>
      </c>
      <c r="K137" s="8">
        <f t="shared" si="8"/>
        <v>2040.2517600744086</v>
      </c>
      <c r="L137" s="8">
        <f t="shared" si="9"/>
        <v>8.1462399255915443</v>
      </c>
      <c r="M137" s="8"/>
      <c r="N137" s="8"/>
    </row>
    <row r="138" spans="5:14" x14ac:dyDescent="0.25">
      <c r="E138" s="7">
        <v>37377</v>
      </c>
      <c r="F138" s="8">
        <f>Data!$B138</f>
        <v>2068.7629999999999</v>
      </c>
      <c r="G138" s="8">
        <v>1.0446906089782715</v>
      </c>
      <c r="H138" s="8">
        <f t="shared" si="10"/>
        <v>1980.2638046333086</v>
      </c>
      <c r="I138" s="8">
        <f t="shared" si="6"/>
        <v>1972.2619414791743</v>
      </c>
      <c r="J138" s="8">
        <f t="shared" si="7"/>
        <v>8.0018631541342984</v>
      </c>
      <c r="K138" s="8">
        <f t="shared" si="8"/>
        <v>2060.4035287085467</v>
      </c>
      <c r="L138" s="8">
        <f t="shared" si="9"/>
        <v>8.3594712914532465</v>
      </c>
      <c r="M138" s="8"/>
      <c r="N138" s="8"/>
    </row>
    <row r="139" spans="5:14" x14ac:dyDescent="0.25">
      <c r="E139" s="7">
        <v>37408</v>
      </c>
      <c r="F139" s="8">
        <f>Data!$B139</f>
        <v>1994.2670000000001</v>
      </c>
      <c r="G139" s="8">
        <v>1.0266433954238892</v>
      </c>
      <c r="H139" s="8">
        <f t="shared" si="10"/>
        <v>1942.5118876614313</v>
      </c>
      <c r="I139" s="8">
        <f t="shared" si="6"/>
        <v>1973.9973037491957</v>
      </c>
      <c r="J139" s="8">
        <f t="shared" si="7"/>
        <v>-31.485416087764406</v>
      </c>
      <c r="K139" s="8">
        <f t="shared" si="8"/>
        <v>2026.5912944786764</v>
      </c>
      <c r="L139" s="8">
        <f t="shared" si="9"/>
        <v>-32.324294478676393</v>
      </c>
      <c r="M139" s="8"/>
      <c r="N139" s="8"/>
    </row>
    <row r="140" spans="5:14" x14ac:dyDescent="0.25">
      <c r="E140" s="7">
        <v>37438</v>
      </c>
      <c r="F140" s="8">
        <f>Data!$B140</f>
        <v>2075.2579999999998</v>
      </c>
      <c r="G140" s="8">
        <v>1.0838872194290161</v>
      </c>
      <c r="H140" s="8">
        <f t="shared" si="10"/>
        <v>1914.6438511316985</v>
      </c>
      <c r="I140" s="8">
        <f t="shared" si="6"/>
        <v>1967.6135551539719</v>
      </c>
      <c r="J140" s="8">
        <f t="shared" si="7"/>
        <v>-52.96970402227339</v>
      </c>
      <c r="K140" s="8">
        <f t="shared" si="8"/>
        <v>2132.6711852066796</v>
      </c>
      <c r="L140" s="8">
        <f t="shared" si="9"/>
        <v>-57.413185206679827</v>
      </c>
      <c r="M140" s="8"/>
      <c r="N140" s="8"/>
    </row>
    <row r="141" spans="5:14" x14ac:dyDescent="0.25">
      <c r="E141" s="7">
        <v>37469</v>
      </c>
      <c r="F141" s="8">
        <f>Data!$B141</f>
        <v>2026.56</v>
      </c>
      <c r="G141" s="8">
        <v>1.1051819324493408</v>
      </c>
      <c r="H141" s="8">
        <f t="shared" si="10"/>
        <v>1833.6890429512093</v>
      </c>
      <c r="I141" s="8">
        <f t="shared" si="6"/>
        <v>1963.657193345168</v>
      </c>
      <c r="J141" s="8">
        <f t="shared" si="7"/>
        <v>-129.96815039395869</v>
      </c>
      <c r="K141" s="8">
        <f t="shared" si="8"/>
        <v>2170.1984516092616</v>
      </c>
      <c r="L141" s="8">
        <f t="shared" si="9"/>
        <v>-143.63845160926166</v>
      </c>
      <c r="M141" s="8"/>
      <c r="N141" s="8"/>
    </row>
    <row r="142" spans="5:14" x14ac:dyDescent="0.25">
      <c r="E142" s="7">
        <v>37500</v>
      </c>
      <c r="F142" s="8">
        <f>Data!$B142</f>
        <v>1734.155</v>
      </c>
      <c r="G142" s="8">
        <v>0.92445313930511475</v>
      </c>
      <c r="H142" s="8">
        <f t="shared" si="10"/>
        <v>1875.8711786121632</v>
      </c>
      <c r="I142" s="8">
        <f t="shared" si="6"/>
        <v>1950.3804954225486</v>
      </c>
      <c r="J142" s="8">
        <f t="shared" si="7"/>
        <v>-74.509316810385371</v>
      </c>
      <c r="K142" s="8">
        <f t="shared" si="8"/>
        <v>1803.0353718328402</v>
      </c>
      <c r="L142" s="8">
        <f t="shared" si="9"/>
        <v>-68.880371832840183</v>
      </c>
      <c r="M142" s="8"/>
      <c r="N142" s="8"/>
    </row>
    <row r="143" spans="5:14" x14ac:dyDescent="0.25">
      <c r="E143" s="7">
        <v>37530</v>
      </c>
      <c r="F143" s="8">
        <f>Data!$B143</f>
        <v>1916.771</v>
      </c>
      <c r="G143" s="8">
        <v>0.99956631660461426</v>
      </c>
      <c r="H143" s="8">
        <f t="shared" si="10"/>
        <v>1917.6026324206289</v>
      </c>
      <c r="I143" s="8">
        <f t="shared" ref="I143:I160" si="11">AVERAGE($H131:$H142)</f>
        <v>1952.765869621531</v>
      </c>
      <c r="J143" s="8">
        <f t="shared" ref="J143:J160" si="12">H143-I143</f>
        <v>-35.163237200902131</v>
      </c>
      <c r="K143" s="8">
        <f t="shared" ref="K143:K160" si="13">G143*I143</f>
        <v>1951.9189874888002</v>
      </c>
      <c r="L143" s="8">
        <f t="shared" ref="L143:L160" si="14">F143-K143</f>
        <v>-35.147987488800254</v>
      </c>
      <c r="M143" s="8"/>
      <c r="N143" s="8"/>
    </row>
    <row r="144" spans="5:14" x14ac:dyDescent="0.25">
      <c r="E144" s="7">
        <v>37561</v>
      </c>
      <c r="F144" s="8">
        <f>Data!$B144</f>
        <v>1858.345</v>
      </c>
      <c r="G144" s="8">
        <v>0.99299192428588867</v>
      </c>
      <c r="H144" s="8">
        <f t="shared" si="10"/>
        <v>1871.4603357287433</v>
      </c>
      <c r="I144" s="8">
        <f t="shared" si="11"/>
        <v>1949.9358923073603</v>
      </c>
      <c r="J144" s="8">
        <f t="shared" si="12"/>
        <v>-78.475556578616988</v>
      </c>
      <c r="K144" s="8">
        <f t="shared" si="13"/>
        <v>1936.2705939364071</v>
      </c>
      <c r="L144" s="8">
        <f t="shared" si="14"/>
        <v>-77.92559393640704</v>
      </c>
      <c r="M144" s="8"/>
      <c r="N144" s="8"/>
    </row>
    <row r="145" spans="5:14" x14ac:dyDescent="0.25">
      <c r="E145" s="7">
        <v>37591</v>
      </c>
      <c r="F145" s="8">
        <f>Data!$B145</f>
        <v>1996.3520000000001</v>
      </c>
      <c r="G145" s="8">
        <v>1.0167368650436401</v>
      </c>
      <c r="H145" s="8">
        <f t="shared" si="10"/>
        <v>1963.4893438375652</v>
      </c>
      <c r="I145" s="8">
        <f t="shared" si="11"/>
        <v>1940.2623493861447</v>
      </c>
      <c r="J145" s="8">
        <f t="shared" si="12"/>
        <v>23.226994451420524</v>
      </c>
      <c r="K145" s="8">
        <f t="shared" si="13"/>
        <v>1972.7362584770767</v>
      </c>
      <c r="L145" s="8">
        <f t="shared" si="14"/>
        <v>23.615741522923372</v>
      </c>
      <c r="M145" s="8"/>
      <c r="N145" s="8"/>
    </row>
    <row r="146" spans="5:14" x14ac:dyDescent="0.25">
      <c r="E146" s="7">
        <v>37622</v>
      </c>
      <c r="F146" s="8">
        <f>Data!$B146</f>
        <v>1778.0329999999999</v>
      </c>
      <c r="G146" s="8">
        <v>0.88213890790939331</v>
      </c>
      <c r="H146" s="8">
        <f t="shared" si="10"/>
        <v>2015.5929911467256</v>
      </c>
      <c r="I146" s="8">
        <f t="shared" si="11"/>
        <v>1941.2149885267463</v>
      </c>
      <c r="J146" s="8">
        <f t="shared" si="12"/>
        <v>74.37800261997927</v>
      </c>
      <c r="K146" s="8">
        <f t="shared" si="13"/>
        <v>1712.4212699963296</v>
      </c>
      <c r="L146" s="8">
        <f t="shared" si="14"/>
        <v>65.611730003670345</v>
      </c>
      <c r="M146" s="8"/>
      <c r="N146" s="8"/>
    </row>
    <row r="147" spans="5:14" x14ac:dyDescent="0.25">
      <c r="E147" s="7">
        <v>37653</v>
      </c>
      <c r="F147" s="8">
        <f>Data!$B147</f>
        <v>1749.489</v>
      </c>
      <c r="G147" s="8">
        <v>0.86250799894332886</v>
      </c>
      <c r="H147" s="8">
        <f t="shared" si="10"/>
        <v>2028.3742320573542</v>
      </c>
      <c r="I147" s="8">
        <f t="shared" si="11"/>
        <v>1942.953565810795</v>
      </c>
      <c r="J147" s="8">
        <f t="shared" si="12"/>
        <v>85.420666246559222</v>
      </c>
      <c r="K147" s="8">
        <f t="shared" si="13"/>
        <v>1675.8129920872741</v>
      </c>
      <c r="L147" s="8">
        <f t="shared" si="14"/>
        <v>73.676007912725936</v>
      </c>
      <c r="M147" s="8"/>
      <c r="N147" s="8"/>
    </row>
    <row r="148" spans="5:14" x14ac:dyDescent="0.25">
      <c r="E148" s="7">
        <v>37681</v>
      </c>
      <c r="F148" s="8">
        <f>Data!$B148</f>
        <v>2066.4659999999999</v>
      </c>
      <c r="G148" s="8">
        <v>1.0256878137588501</v>
      </c>
      <c r="H148" s="8">
        <f t="shared" si="10"/>
        <v>2014.7124420119587</v>
      </c>
      <c r="I148" s="8">
        <f t="shared" si="11"/>
        <v>1940.9143576695512</v>
      </c>
      <c r="J148" s="8">
        <f t="shared" si="12"/>
        <v>73.798084342407492</v>
      </c>
      <c r="K148" s="8">
        <f t="shared" si="13"/>
        <v>1990.7722042112448</v>
      </c>
      <c r="L148" s="8">
        <f t="shared" si="14"/>
        <v>75.693795788755097</v>
      </c>
      <c r="M148" s="8"/>
      <c r="N148" s="8"/>
    </row>
    <row r="149" spans="5:14" x14ac:dyDescent="0.25">
      <c r="E149" s="7">
        <v>37712</v>
      </c>
      <c r="F149" s="8">
        <f>Data!$B149</f>
        <v>2098.8989999999999</v>
      </c>
      <c r="G149" s="8">
        <v>1.0355126857757568</v>
      </c>
      <c r="H149" s="8">
        <f t="shared" si="10"/>
        <v>2026.9177083307334</v>
      </c>
      <c r="I149" s="8">
        <f t="shared" si="11"/>
        <v>1944.6966976251977</v>
      </c>
      <c r="J149" s="8">
        <f t="shared" si="12"/>
        <v>82.221010705535718</v>
      </c>
      <c r="K149" s="8">
        <f t="shared" si="13"/>
        <v>2013.7581003771134</v>
      </c>
      <c r="L149" s="8">
        <f t="shared" si="14"/>
        <v>85.140899622886536</v>
      </c>
      <c r="M149" s="8"/>
      <c r="N149" s="8"/>
    </row>
    <row r="150" spans="5:14" x14ac:dyDescent="0.25">
      <c r="E150" s="7">
        <v>37742</v>
      </c>
      <c r="F150" s="8">
        <f>Data!$B150</f>
        <v>2104.9110000000001</v>
      </c>
      <c r="G150" s="8">
        <v>1.0446906089782715</v>
      </c>
      <c r="H150" s="8">
        <f t="shared" si="10"/>
        <v>2014.8654366278315</v>
      </c>
      <c r="I150" s="8">
        <f t="shared" si="11"/>
        <v>1948.7607875436267</v>
      </c>
      <c r="J150" s="8">
        <f t="shared" si="12"/>
        <v>66.104649084204766</v>
      </c>
      <c r="K150" s="8">
        <f t="shared" si="13"/>
        <v>2035.8520938919273</v>
      </c>
      <c r="L150" s="8">
        <f t="shared" si="14"/>
        <v>69.058906108072733</v>
      </c>
      <c r="M150" s="8"/>
      <c r="N150" s="8"/>
    </row>
    <row r="151" spans="5:14" x14ac:dyDescent="0.25">
      <c r="E151" s="7">
        <v>37773</v>
      </c>
      <c r="F151" s="8">
        <f>Data!$B151</f>
        <v>2129.6709999999998</v>
      </c>
      <c r="G151" s="8">
        <v>1.0266433954238892</v>
      </c>
      <c r="H151" s="8">
        <f t="shared" si="10"/>
        <v>2074.4018901720819</v>
      </c>
      <c r="I151" s="8">
        <f t="shared" si="11"/>
        <v>1951.6442568765035</v>
      </c>
      <c r="J151" s="8">
        <f t="shared" si="12"/>
        <v>122.75763329557844</v>
      </c>
      <c r="K151" s="8">
        <f t="shared" si="13"/>
        <v>2003.6426865392266</v>
      </c>
      <c r="L151" s="8">
        <f t="shared" si="14"/>
        <v>126.02831346077323</v>
      </c>
      <c r="M151" s="8"/>
      <c r="N151" s="8"/>
    </row>
    <row r="152" spans="5:14" x14ac:dyDescent="0.25">
      <c r="E152" s="7">
        <v>37803</v>
      </c>
      <c r="F152" s="8">
        <f>Data!$B152</f>
        <v>2223.3490000000002</v>
      </c>
      <c r="G152" s="8">
        <v>1.0838872194290161</v>
      </c>
      <c r="H152" s="8">
        <f t="shared" si="10"/>
        <v>2051.2733798736404</v>
      </c>
      <c r="I152" s="8">
        <f t="shared" si="11"/>
        <v>1962.6350904190576</v>
      </c>
      <c r="J152" s="8">
        <f t="shared" si="12"/>
        <v>88.638289454582718</v>
      </c>
      <c r="K152" s="8">
        <f t="shared" si="13"/>
        <v>2127.2750909081278</v>
      </c>
      <c r="L152" s="8">
        <f t="shared" si="14"/>
        <v>96.073909091872338</v>
      </c>
      <c r="M152" s="8"/>
      <c r="N152" s="8"/>
    </row>
    <row r="153" spans="5:14" x14ac:dyDescent="0.25">
      <c r="E153" s="7">
        <v>37834</v>
      </c>
      <c r="F153" s="8">
        <f>Data!$B153</f>
        <v>2174.36</v>
      </c>
      <c r="G153" s="8">
        <v>1.1051819324493408</v>
      </c>
      <c r="H153" s="8">
        <f t="shared" si="10"/>
        <v>1967.4226805184114</v>
      </c>
      <c r="I153" s="8">
        <f t="shared" si="11"/>
        <v>1974.020884480886</v>
      </c>
      <c r="J153" s="8">
        <f t="shared" si="12"/>
        <v>-6.5982039624745994</v>
      </c>
      <c r="K153" s="8">
        <f t="shared" si="13"/>
        <v>2181.6522158059424</v>
      </c>
      <c r="L153" s="8">
        <f t="shared" si="14"/>
        <v>-7.2922158059423055</v>
      </c>
      <c r="M153" s="8"/>
      <c r="N153" s="8"/>
    </row>
    <row r="154" spans="5:14" x14ac:dyDescent="0.25">
      <c r="E154" s="7">
        <v>37865</v>
      </c>
      <c r="F154" s="8">
        <f>Data!$B154</f>
        <v>1931.4059999999999</v>
      </c>
      <c r="G154" s="8">
        <v>0.92445313930511475</v>
      </c>
      <c r="H154" s="8">
        <f t="shared" si="10"/>
        <v>2089.2416477181127</v>
      </c>
      <c r="I154" s="8">
        <f t="shared" si="11"/>
        <v>1985.1653542781532</v>
      </c>
      <c r="J154" s="8">
        <f t="shared" si="12"/>
        <v>104.0762934399595</v>
      </c>
      <c r="K154" s="8">
        <f t="shared" si="13"/>
        <v>1835.192343802189</v>
      </c>
      <c r="L154" s="8">
        <f t="shared" si="14"/>
        <v>96.213656197810906</v>
      </c>
      <c r="M154" s="8"/>
      <c r="N154" s="8"/>
    </row>
    <row r="155" spans="5:14" x14ac:dyDescent="0.25">
      <c r="E155" s="7">
        <v>37895</v>
      </c>
      <c r="F155" s="8">
        <f>Data!$B155</f>
        <v>2121.4699999999998</v>
      </c>
      <c r="G155" s="8">
        <v>0.99956631660461426</v>
      </c>
      <c r="H155" s="8">
        <f t="shared" si="10"/>
        <v>2122.390445494736</v>
      </c>
      <c r="I155" s="8">
        <f t="shared" si="11"/>
        <v>2002.946226703649</v>
      </c>
      <c r="J155" s="8">
        <f t="shared" si="12"/>
        <v>119.444218791087</v>
      </c>
      <c r="K155" s="8">
        <f t="shared" si="13"/>
        <v>2002.0775821832772</v>
      </c>
      <c r="L155" s="8">
        <f t="shared" si="14"/>
        <v>119.39241781672263</v>
      </c>
      <c r="M155" s="8"/>
      <c r="N155" s="8"/>
    </row>
    <row r="156" spans="5:14" x14ac:dyDescent="0.25">
      <c r="E156" s="7">
        <v>37926</v>
      </c>
      <c r="F156" s="8">
        <f>Data!$B156</f>
        <v>2076.0540000000001</v>
      </c>
      <c r="G156" s="8">
        <v>0.99299192428588867</v>
      </c>
      <c r="H156" s="8">
        <f t="shared" si="10"/>
        <v>2090.7058247155401</v>
      </c>
      <c r="I156" s="8">
        <f t="shared" si="11"/>
        <v>2020.0118777931582</v>
      </c>
      <c r="J156" s="8">
        <f t="shared" si="12"/>
        <v>70.693946922381883</v>
      </c>
      <c r="K156" s="8">
        <f t="shared" si="13"/>
        <v>2005.8554816101796</v>
      </c>
      <c r="L156" s="8">
        <f t="shared" si="14"/>
        <v>70.198518389820492</v>
      </c>
      <c r="M156" s="8"/>
      <c r="N156" s="8"/>
    </row>
    <row r="157" spans="5:14" x14ac:dyDescent="0.25">
      <c r="E157" s="7">
        <v>37956</v>
      </c>
      <c r="F157" s="8">
        <f>Data!$B157</f>
        <v>2140.6770000000001</v>
      </c>
      <c r="G157" s="8">
        <v>1.0167368650436401</v>
      </c>
      <c r="H157" s="8">
        <f t="shared" si="10"/>
        <v>2105.4385589806648</v>
      </c>
      <c r="I157" s="8">
        <f t="shared" si="11"/>
        <v>2038.2823352087246</v>
      </c>
      <c r="J157" s="8">
        <f t="shared" si="12"/>
        <v>67.156223771940176</v>
      </c>
      <c r="K157" s="8">
        <f t="shared" si="13"/>
        <v>2072.3967915739486</v>
      </c>
      <c r="L157" s="8">
        <f t="shared" si="14"/>
        <v>68.280208426051558</v>
      </c>
      <c r="M157" s="8"/>
      <c r="N157" s="8"/>
    </row>
    <row r="158" spans="5:14" x14ac:dyDescent="0.25">
      <c r="E158" s="7">
        <v>37987</v>
      </c>
      <c r="F158" s="8">
        <f>Data!$B158</f>
        <v>1831.508</v>
      </c>
      <c r="G158" s="8">
        <v>0.88213890790939331</v>
      </c>
      <c r="H158" s="8">
        <f t="shared" si="10"/>
        <v>2076.2126957312698</v>
      </c>
      <c r="I158" s="8">
        <f t="shared" si="11"/>
        <v>2050.1114364706496</v>
      </c>
      <c r="J158" s="8">
        <f t="shared" si="12"/>
        <v>26.101259260620282</v>
      </c>
      <c r="K158" s="8">
        <f t="shared" si="13"/>
        <v>1808.4830636607765</v>
      </c>
      <c r="L158" s="8">
        <f t="shared" si="14"/>
        <v>23.024936339223586</v>
      </c>
      <c r="M158" s="8"/>
      <c r="N158" s="8"/>
    </row>
    <row r="159" spans="5:14" x14ac:dyDescent="0.25">
      <c r="E159" s="7">
        <v>38018</v>
      </c>
      <c r="F159" s="8">
        <f>Data!$B159</f>
        <v>1838.0060000000001</v>
      </c>
      <c r="G159" s="8">
        <v>0.86250799894332886</v>
      </c>
      <c r="H159" s="8">
        <f t="shared" si="10"/>
        <v>2131.0016860733676</v>
      </c>
      <c r="I159" s="8">
        <f t="shared" si="11"/>
        <v>2055.1630785193611</v>
      </c>
      <c r="J159" s="8">
        <f t="shared" si="12"/>
        <v>75.838607554006558</v>
      </c>
      <c r="K159" s="8">
        <f t="shared" si="13"/>
        <v>1772.5945943559457</v>
      </c>
      <c r="L159" s="8">
        <f t="shared" si="14"/>
        <v>65.411405644054412</v>
      </c>
      <c r="M159" s="8"/>
      <c r="N159" s="8"/>
    </row>
    <row r="160" spans="5:14" x14ac:dyDescent="0.25">
      <c r="E160" s="7">
        <v>38047</v>
      </c>
      <c r="F160" s="8">
        <f>Data!$B160</f>
        <v>2132.4459999999999</v>
      </c>
      <c r="G160" s="8">
        <v>1.0256878137588501</v>
      </c>
      <c r="H160" s="8">
        <f t="shared" si="10"/>
        <v>2079.0400074903887</v>
      </c>
      <c r="I160" s="8">
        <f t="shared" si="11"/>
        <v>2063.7153663540289</v>
      </c>
      <c r="J160" s="8">
        <f t="shared" si="12"/>
        <v>15.324641136359787</v>
      </c>
      <c r="K160" s="8">
        <f t="shared" si="13"/>
        <v>2116.7277023362085</v>
      </c>
      <c r="L160" s="8">
        <f t="shared" si="14"/>
        <v>15.718297663791418</v>
      </c>
      <c r="M160" s="8"/>
      <c r="N160" s="8"/>
    </row>
  </sheetData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0"/>
  <sheetViews>
    <sheetView topLeftCell="A87" workbookViewId="0">
      <selection activeCell="C7" sqref="C7"/>
    </sheetView>
  </sheetViews>
  <sheetFormatPr defaultRowHeight="13.2" x14ac:dyDescent="0.25"/>
  <cols>
    <col min="2" max="2" width="14.44140625" customWidth="1"/>
    <col min="3" max="3" width="36" customWidth="1"/>
  </cols>
  <sheetData>
    <row r="1" spans="1:6" x14ac:dyDescent="0.25">
      <c r="A1" s="13" t="s">
        <v>1</v>
      </c>
      <c r="B1" s="13" t="s">
        <v>37</v>
      </c>
      <c r="C1" s="14" t="s">
        <v>2</v>
      </c>
      <c r="D1" s="14"/>
      <c r="E1" s="14"/>
      <c r="F1" s="14"/>
    </row>
    <row r="2" spans="1:6" x14ac:dyDescent="0.25">
      <c r="A2" s="2">
        <v>33239</v>
      </c>
      <c r="B2" s="1">
        <v>1708.9169999999999</v>
      </c>
    </row>
    <row r="3" spans="1:6" x14ac:dyDescent="0.25">
      <c r="A3" s="2">
        <v>33270</v>
      </c>
      <c r="B3" s="1">
        <v>1620.586</v>
      </c>
    </row>
    <row r="4" spans="1:6" x14ac:dyDescent="0.25">
      <c r="A4" s="2">
        <v>33298</v>
      </c>
      <c r="B4" s="1">
        <v>1972.7149999999999</v>
      </c>
    </row>
    <row r="5" spans="1:6" x14ac:dyDescent="0.25">
      <c r="A5" s="2">
        <v>33329</v>
      </c>
      <c r="B5" s="1">
        <v>1811.665</v>
      </c>
    </row>
    <row r="6" spans="1:6" x14ac:dyDescent="0.25">
      <c r="A6" s="2">
        <v>33359</v>
      </c>
      <c r="B6" s="1">
        <v>1974.9639999999999</v>
      </c>
    </row>
    <row r="7" spans="1:6" x14ac:dyDescent="0.25">
      <c r="A7" s="2">
        <v>33390</v>
      </c>
      <c r="B7" s="1">
        <v>1862.356</v>
      </c>
    </row>
    <row r="8" spans="1:6" x14ac:dyDescent="0.25">
      <c r="A8" s="2">
        <v>33420</v>
      </c>
      <c r="B8" s="1">
        <v>1939.86</v>
      </c>
    </row>
    <row r="9" spans="1:6" x14ac:dyDescent="0.25">
      <c r="A9" s="2">
        <v>33451</v>
      </c>
      <c r="B9" s="1">
        <v>2013.2639999999999</v>
      </c>
    </row>
    <row r="10" spans="1:6" x14ac:dyDescent="0.25">
      <c r="A10" s="2">
        <v>33482</v>
      </c>
      <c r="B10" s="1">
        <v>1595.6569999999999</v>
      </c>
    </row>
    <row r="11" spans="1:6" x14ac:dyDescent="0.25">
      <c r="A11" s="2">
        <v>33512</v>
      </c>
      <c r="B11" s="1">
        <v>1724.924</v>
      </c>
    </row>
    <row r="12" spans="1:6" x14ac:dyDescent="0.25">
      <c r="A12" s="2">
        <v>33543</v>
      </c>
      <c r="B12" s="1">
        <v>1675.6669999999999</v>
      </c>
    </row>
    <row r="13" spans="1:6" x14ac:dyDescent="0.25">
      <c r="A13" s="2">
        <v>33573</v>
      </c>
      <c r="B13" s="1">
        <v>1813.8630000000001</v>
      </c>
    </row>
    <row r="14" spans="1:6" x14ac:dyDescent="0.25">
      <c r="A14" s="2">
        <v>33604</v>
      </c>
      <c r="B14" s="1">
        <v>1614.827</v>
      </c>
    </row>
    <row r="15" spans="1:6" x14ac:dyDescent="0.25">
      <c r="A15" s="2">
        <v>33635</v>
      </c>
      <c r="B15" s="1">
        <v>1557.088</v>
      </c>
    </row>
    <row r="16" spans="1:6" x14ac:dyDescent="0.25">
      <c r="A16" s="2">
        <v>33664</v>
      </c>
      <c r="B16" s="1">
        <v>1891.223</v>
      </c>
    </row>
    <row r="17" spans="1:2" x14ac:dyDescent="0.25">
      <c r="A17" s="2">
        <v>33695</v>
      </c>
      <c r="B17" s="1">
        <v>1955.981</v>
      </c>
    </row>
    <row r="18" spans="1:2" x14ac:dyDescent="0.25">
      <c r="A18" s="2">
        <v>33725</v>
      </c>
      <c r="B18" s="1">
        <v>1884.7139999999999</v>
      </c>
    </row>
    <row r="19" spans="1:2" x14ac:dyDescent="0.25">
      <c r="A19" s="2">
        <v>33756</v>
      </c>
      <c r="B19" s="1">
        <v>1623.0419999999999</v>
      </c>
    </row>
    <row r="20" spans="1:2" x14ac:dyDescent="0.25">
      <c r="A20" s="2">
        <v>33786</v>
      </c>
      <c r="B20" s="1">
        <v>1903.309</v>
      </c>
    </row>
    <row r="21" spans="1:2" x14ac:dyDescent="0.25">
      <c r="A21" s="2">
        <v>33817</v>
      </c>
      <c r="B21" s="1">
        <v>1996.712</v>
      </c>
    </row>
    <row r="22" spans="1:2" x14ac:dyDescent="0.25">
      <c r="A22" s="2">
        <v>33848</v>
      </c>
      <c r="B22" s="1">
        <v>1703.8969999999999</v>
      </c>
    </row>
    <row r="23" spans="1:2" x14ac:dyDescent="0.25">
      <c r="A23" s="2">
        <v>33878</v>
      </c>
      <c r="B23" s="1">
        <v>1810</v>
      </c>
    </row>
    <row r="24" spans="1:2" x14ac:dyDescent="0.25">
      <c r="A24" s="2">
        <v>33909</v>
      </c>
      <c r="B24" s="1">
        <v>1861.6010000000001</v>
      </c>
    </row>
    <row r="25" spans="1:2" x14ac:dyDescent="0.25">
      <c r="A25" s="2">
        <v>33939</v>
      </c>
      <c r="B25" s="1">
        <v>1875.1220000000001</v>
      </c>
    </row>
    <row r="26" spans="1:2" x14ac:dyDescent="0.25">
      <c r="A26" s="2">
        <v>33970</v>
      </c>
      <c r="B26" s="1">
        <v>1705.259</v>
      </c>
    </row>
    <row r="27" spans="1:2" x14ac:dyDescent="0.25">
      <c r="A27" s="2">
        <v>34001</v>
      </c>
      <c r="B27" s="1">
        <v>1618.5350000000001</v>
      </c>
    </row>
    <row r="28" spans="1:2" x14ac:dyDescent="0.25">
      <c r="A28" s="2">
        <v>34029</v>
      </c>
      <c r="B28" s="1">
        <v>1836.7090000000001</v>
      </c>
    </row>
    <row r="29" spans="1:2" x14ac:dyDescent="0.25">
      <c r="A29" s="2">
        <v>34060</v>
      </c>
      <c r="B29" s="1">
        <v>1957.0429999999999</v>
      </c>
    </row>
    <row r="30" spans="1:2" x14ac:dyDescent="0.25">
      <c r="A30" s="2">
        <v>34090</v>
      </c>
      <c r="B30" s="1">
        <v>1917.1849999999999</v>
      </c>
    </row>
    <row r="31" spans="1:2" x14ac:dyDescent="0.25">
      <c r="A31" s="2">
        <v>34121</v>
      </c>
      <c r="B31" s="1">
        <v>1882.3979999999999</v>
      </c>
    </row>
    <row r="32" spans="1:2" x14ac:dyDescent="0.25">
      <c r="A32" s="2">
        <v>34151</v>
      </c>
      <c r="B32" s="1">
        <v>1933.009</v>
      </c>
    </row>
    <row r="33" spans="1:2" x14ac:dyDescent="0.25">
      <c r="A33" s="2">
        <v>34182</v>
      </c>
      <c r="B33" s="1">
        <v>1996.1669999999999</v>
      </c>
    </row>
    <row r="34" spans="1:2" x14ac:dyDescent="0.25">
      <c r="A34" s="2">
        <v>34213</v>
      </c>
      <c r="B34" s="1">
        <v>1672.8409999999999</v>
      </c>
    </row>
    <row r="35" spans="1:2" x14ac:dyDescent="0.25">
      <c r="A35" s="2">
        <v>34243</v>
      </c>
      <c r="B35" s="1">
        <v>1752.827</v>
      </c>
    </row>
    <row r="36" spans="1:2" x14ac:dyDescent="0.25">
      <c r="A36" s="2">
        <v>34274</v>
      </c>
      <c r="B36" s="1">
        <v>1720.377</v>
      </c>
    </row>
    <row r="37" spans="1:2" x14ac:dyDescent="0.25">
      <c r="A37" s="2">
        <v>34304</v>
      </c>
      <c r="B37" s="1">
        <v>1734.2919999999999</v>
      </c>
    </row>
    <row r="38" spans="1:2" x14ac:dyDescent="0.25">
      <c r="A38" s="2">
        <v>34335</v>
      </c>
      <c r="B38" s="1">
        <v>1563.365</v>
      </c>
    </row>
    <row r="39" spans="1:2" x14ac:dyDescent="0.25">
      <c r="A39" s="2">
        <v>34366</v>
      </c>
      <c r="B39" s="1">
        <v>1573.9590000000001</v>
      </c>
    </row>
    <row r="40" spans="1:2" x14ac:dyDescent="0.25">
      <c r="A40" s="2">
        <v>34394</v>
      </c>
      <c r="B40" s="1">
        <v>1902.6389999999999</v>
      </c>
    </row>
    <row r="41" spans="1:2" x14ac:dyDescent="0.25">
      <c r="A41" s="2">
        <v>34425</v>
      </c>
      <c r="B41" s="1">
        <v>1833.8879999999999</v>
      </c>
    </row>
    <row r="42" spans="1:2" x14ac:dyDescent="0.25">
      <c r="A42" s="2">
        <v>34455</v>
      </c>
      <c r="B42" s="1">
        <v>1831.049</v>
      </c>
    </row>
    <row r="43" spans="1:2" x14ac:dyDescent="0.25">
      <c r="A43" s="2">
        <v>34486</v>
      </c>
      <c r="B43" s="1">
        <v>1775.7550000000001</v>
      </c>
    </row>
    <row r="44" spans="1:2" x14ac:dyDescent="0.25">
      <c r="A44" s="2">
        <v>34516</v>
      </c>
      <c r="B44" s="1">
        <v>1867.508</v>
      </c>
    </row>
    <row r="45" spans="1:2" x14ac:dyDescent="0.25">
      <c r="A45" s="2">
        <v>34547</v>
      </c>
      <c r="B45" s="1">
        <v>1906.6079999999999</v>
      </c>
    </row>
    <row r="46" spans="1:2" x14ac:dyDescent="0.25">
      <c r="A46" s="2">
        <v>34578</v>
      </c>
      <c r="B46" s="1">
        <v>1685.6320000000001</v>
      </c>
    </row>
    <row r="47" spans="1:2" x14ac:dyDescent="0.25">
      <c r="A47" s="2">
        <v>34608</v>
      </c>
      <c r="B47" s="1">
        <v>1778.546</v>
      </c>
    </row>
    <row r="48" spans="1:2" x14ac:dyDescent="0.25">
      <c r="A48" s="2">
        <v>34639</v>
      </c>
      <c r="B48" s="1">
        <v>1775.9949999999999</v>
      </c>
    </row>
    <row r="49" spans="1:2" x14ac:dyDescent="0.25">
      <c r="A49" s="2">
        <v>34669</v>
      </c>
      <c r="B49" s="1">
        <v>1783.35</v>
      </c>
    </row>
    <row r="50" spans="1:2" x14ac:dyDescent="0.25">
      <c r="A50" s="2">
        <v>34700</v>
      </c>
      <c r="B50" s="1">
        <v>1548.415</v>
      </c>
    </row>
    <row r="51" spans="1:2" x14ac:dyDescent="0.25">
      <c r="A51" s="2">
        <v>34731</v>
      </c>
      <c r="B51" s="1">
        <v>1496.925</v>
      </c>
    </row>
    <row r="52" spans="1:2" x14ac:dyDescent="0.25">
      <c r="A52" s="2">
        <v>34759</v>
      </c>
      <c r="B52" s="1">
        <v>1798.316</v>
      </c>
    </row>
    <row r="53" spans="1:2" x14ac:dyDescent="0.25">
      <c r="A53" s="2">
        <v>34790</v>
      </c>
      <c r="B53" s="1">
        <v>1732.895</v>
      </c>
    </row>
    <row r="54" spans="1:2" x14ac:dyDescent="0.25">
      <c r="A54" s="2">
        <v>34820</v>
      </c>
      <c r="B54" s="1">
        <v>1772.345</v>
      </c>
    </row>
    <row r="55" spans="1:2" x14ac:dyDescent="0.25">
      <c r="A55" s="2">
        <v>34851</v>
      </c>
      <c r="B55" s="1">
        <v>1761.2070000000001</v>
      </c>
    </row>
    <row r="56" spans="1:2" x14ac:dyDescent="0.25">
      <c r="A56" s="2">
        <v>34881</v>
      </c>
      <c r="B56" s="1">
        <v>1791.655</v>
      </c>
    </row>
    <row r="57" spans="1:2" x14ac:dyDescent="0.25">
      <c r="A57" s="2">
        <v>34912</v>
      </c>
      <c r="B57" s="1">
        <v>1874.82</v>
      </c>
    </row>
    <row r="58" spans="1:2" x14ac:dyDescent="0.25">
      <c r="A58" s="2">
        <v>34943</v>
      </c>
      <c r="B58" s="1">
        <v>1571.309</v>
      </c>
    </row>
    <row r="59" spans="1:2" x14ac:dyDescent="0.25">
      <c r="A59" s="2">
        <v>34973</v>
      </c>
      <c r="B59" s="1">
        <v>1646.9480000000001</v>
      </c>
    </row>
    <row r="60" spans="1:2" x14ac:dyDescent="0.25">
      <c r="A60" s="2">
        <v>35004</v>
      </c>
      <c r="B60" s="1">
        <v>1672.6310000000001</v>
      </c>
    </row>
    <row r="61" spans="1:2" x14ac:dyDescent="0.25">
      <c r="A61" s="2">
        <v>35034</v>
      </c>
      <c r="B61" s="1">
        <v>1656.845</v>
      </c>
    </row>
    <row r="62" spans="1:2" x14ac:dyDescent="0.25">
      <c r="A62" s="2">
        <v>35065</v>
      </c>
      <c r="B62" s="1">
        <v>1381.758</v>
      </c>
    </row>
    <row r="63" spans="1:2" x14ac:dyDescent="0.25">
      <c r="A63" s="2">
        <v>35096</v>
      </c>
      <c r="B63" s="1">
        <v>1360.8520000000001</v>
      </c>
    </row>
    <row r="64" spans="1:2" x14ac:dyDescent="0.25">
      <c r="A64" s="2">
        <v>35125</v>
      </c>
      <c r="B64" s="1">
        <v>1558.575</v>
      </c>
    </row>
    <row r="65" spans="1:2" x14ac:dyDescent="0.25">
      <c r="A65" s="2">
        <v>35156</v>
      </c>
      <c r="B65" s="1">
        <v>1608.42</v>
      </c>
    </row>
    <row r="66" spans="1:2" x14ac:dyDescent="0.25">
      <c r="A66" s="2">
        <v>35186</v>
      </c>
      <c r="B66" s="1">
        <v>1696.6959999999999</v>
      </c>
    </row>
    <row r="67" spans="1:2" x14ac:dyDescent="0.25">
      <c r="A67" s="2">
        <v>35217</v>
      </c>
      <c r="B67" s="1">
        <v>1693.183</v>
      </c>
    </row>
    <row r="68" spans="1:2" x14ac:dyDescent="0.25">
      <c r="A68" s="2">
        <v>35247</v>
      </c>
      <c r="B68" s="1">
        <v>1835.5160000000001</v>
      </c>
    </row>
    <row r="69" spans="1:2" x14ac:dyDescent="0.25">
      <c r="A69" s="2">
        <v>35278</v>
      </c>
      <c r="B69" s="1">
        <v>1942.5730000000001</v>
      </c>
    </row>
    <row r="70" spans="1:2" x14ac:dyDescent="0.25">
      <c r="A70" s="2">
        <v>35309</v>
      </c>
      <c r="B70" s="1">
        <v>1551.4010000000001</v>
      </c>
    </row>
    <row r="71" spans="1:2" x14ac:dyDescent="0.25">
      <c r="A71" s="2">
        <v>35339</v>
      </c>
      <c r="B71" s="1">
        <v>1686.508</v>
      </c>
    </row>
    <row r="72" spans="1:2" x14ac:dyDescent="0.25">
      <c r="A72" s="2">
        <v>35370</v>
      </c>
      <c r="B72" s="1">
        <v>1576.204</v>
      </c>
    </row>
    <row r="73" spans="1:2" x14ac:dyDescent="0.25">
      <c r="A73" s="2">
        <v>35400</v>
      </c>
      <c r="B73" s="1">
        <v>1700.433</v>
      </c>
    </row>
    <row r="74" spans="1:2" x14ac:dyDescent="0.25">
      <c r="A74" s="2">
        <v>35431</v>
      </c>
      <c r="B74" s="1">
        <v>1396.588</v>
      </c>
    </row>
    <row r="75" spans="1:2" x14ac:dyDescent="0.25">
      <c r="A75" s="2">
        <v>35462</v>
      </c>
      <c r="B75" s="1">
        <v>1371.69</v>
      </c>
    </row>
    <row r="76" spans="1:2" x14ac:dyDescent="0.25">
      <c r="A76" s="2">
        <v>35490</v>
      </c>
      <c r="B76" s="1">
        <v>1707.5219999999999</v>
      </c>
    </row>
    <row r="77" spans="1:2" x14ac:dyDescent="0.25">
      <c r="A77" s="2">
        <v>35521</v>
      </c>
      <c r="B77" s="1">
        <v>1654.604</v>
      </c>
    </row>
    <row r="78" spans="1:2" x14ac:dyDescent="0.25">
      <c r="A78" s="2">
        <v>35551</v>
      </c>
      <c r="B78" s="1">
        <v>1762.903</v>
      </c>
    </row>
    <row r="79" spans="1:2" x14ac:dyDescent="0.25">
      <c r="A79" s="2">
        <v>35582</v>
      </c>
      <c r="B79" s="1">
        <v>1775.8</v>
      </c>
    </row>
    <row r="80" spans="1:2" x14ac:dyDescent="0.25">
      <c r="A80" s="2">
        <v>35612</v>
      </c>
      <c r="B80" s="1">
        <v>1934.2190000000001</v>
      </c>
    </row>
    <row r="81" spans="1:2" x14ac:dyDescent="0.25">
      <c r="A81" s="2">
        <v>35643</v>
      </c>
      <c r="B81" s="1">
        <v>2008.0550000000001</v>
      </c>
    </row>
    <row r="82" spans="1:2" x14ac:dyDescent="0.25">
      <c r="A82" s="2">
        <v>35674</v>
      </c>
      <c r="B82" s="1">
        <v>1615.924</v>
      </c>
    </row>
    <row r="83" spans="1:2" x14ac:dyDescent="0.25">
      <c r="A83" s="2">
        <v>35704</v>
      </c>
      <c r="B83" s="1">
        <v>1773.91</v>
      </c>
    </row>
    <row r="84" spans="1:2" x14ac:dyDescent="0.25">
      <c r="A84" s="2">
        <v>35735</v>
      </c>
      <c r="B84" s="1">
        <v>1732.3679999999999</v>
      </c>
    </row>
    <row r="85" spans="1:2" x14ac:dyDescent="0.25">
      <c r="A85" s="2">
        <v>35765</v>
      </c>
      <c r="B85" s="1">
        <v>1796.626</v>
      </c>
    </row>
    <row r="86" spans="1:2" x14ac:dyDescent="0.25">
      <c r="A86" s="2">
        <v>35796</v>
      </c>
      <c r="B86" s="1">
        <v>1570.33</v>
      </c>
    </row>
    <row r="87" spans="1:2" x14ac:dyDescent="0.25">
      <c r="A87" s="2">
        <v>35827</v>
      </c>
      <c r="B87" s="1">
        <v>1412.691</v>
      </c>
    </row>
    <row r="88" spans="1:2" x14ac:dyDescent="0.25">
      <c r="A88" s="2">
        <v>35855</v>
      </c>
      <c r="B88" s="1">
        <v>1754.6410000000001</v>
      </c>
    </row>
    <row r="89" spans="1:2" x14ac:dyDescent="0.25">
      <c r="A89" s="2">
        <v>35886</v>
      </c>
      <c r="B89" s="1">
        <v>1824.932</v>
      </c>
    </row>
    <row r="90" spans="1:2" x14ac:dyDescent="0.25">
      <c r="A90" s="2">
        <v>35916</v>
      </c>
      <c r="B90" s="1">
        <v>1843.289</v>
      </c>
    </row>
    <row r="91" spans="1:2" x14ac:dyDescent="0.25">
      <c r="A91" s="2">
        <v>35947</v>
      </c>
      <c r="B91" s="1">
        <v>1825.9639999999999</v>
      </c>
    </row>
    <row r="92" spans="1:2" x14ac:dyDescent="0.25">
      <c r="A92" s="2">
        <v>35977</v>
      </c>
      <c r="B92" s="1">
        <v>1968.172</v>
      </c>
    </row>
    <row r="93" spans="1:2" x14ac:dyDescent="0.25">
      <c r="A93" s="2">
        <v>36008</v>
      </c>
      <c r="B93" s="1">
        <v>1921.645</v>
      </c>
    </row>
    <row r="94" spans="1:2" x14ac:dyDescent="0.25">
      <c r="A94" s="2">
        <v>36039</v>
      </c>
      <c r="B94" s="1">
        <v>1669.597</v>
      </c>
    </row>
    <row r="95" spans="1:2" x14ac:dyDescent="0.25">
      <c r="A95" s="2">
        <v>36069</v>
      </c>
      <c r="B95" s="1">
        <v>1791.4739999999999</v>
      </c>
    </row>
    <row r="96" spans="1:2" x14ac:dyDescent="0.25">
      <c r="A96" s="2">
        <v>36100</v>
      </c>
      <c r="B96" s="1">
        <v>1816.7139999999999</v>
      </c>
    </row>
    <row r="97" spans="1:2" x14ac:dyDescent="0.25">
      <c r="A97" s="2">
        <v>36130</v>
      </c>
      <c r="B97" s="1">
        <v>1846.7539999999999</v>
      </c>
    </row>
    <row r="98" spans="1:2" x14ac:dyDescent="0.25">
      <c r="A98" s="2">
        <v>36161</v>
      </c>
      <c r="B98" s="1">
        <v>1599.4269999999999</v>
      </c>
    </row>
    <row r="99" spans="1:2" x14ac:dyDescent="0.25">
      <c r="A99" s="2">
        <v>36192</v>
      </c>
      <c r="B99" s="1">
        <v>1548.8040000000001</v>
      </c>
    </row>
    <row r="100" spans="1:2" x14ac:dyDescent="0.25">
      <c r="A100" s="2">
        <v>36220</v>
      </c>
      <c r="B100" s="1">
        <v>1832.3330000000001</v>
      </c>
    </row>
    <row r="101" spans="1:2" x14ac:dyDescent="0.25">
      <c r="A101" s="2">
        <v>36251</v>
      </c>
      <c r="B101" s="1">
        <v>1839.72</v>
      </c>
    </row>
    <row r="102" spans="1:2" x14ac:dyDescent="0.25">
      <c r="A102" s="2">
        <v>36281</v>
      </c>
      <c r="B102" s="1">
        <v>1846.498</v>
      </c>
    </row>
    <row r="103" spans="1:2" x14ac:dyDescent="0.25">
      <c r="A103" s="2">
        <v>36312</v>
      </c>
      <c r="B103" s="1">
        <v>1864.8520000000001</v>
      </c>
    </row>
    <row r="104" spans="1:2" x14ac:dyDescent="0.25">
      <c r="A104" s="2">
        <v>36342</v>
      </c>
      <c r="B104" s="1">
        <v>1965.7429999999999</v>
      </c>
    </row>
    <row r="105" spans="1:2" x14ac:dyDescent="0.25">
      <c r="A105" s="2">
        <v>36373</v>
      </c>
      <c r="B105" s="1">
        <v>1949.002</v>
      </c>
    </row>
    <row r="106" spans="1:2" x14ac:dyDescent="0.25">
      <c r="A106" s="2">
        <v>36404</v>
      </c>
      <c r="B106" s="1">
        <v>1607.373</v>
      </c>
    </row>
    <row r="107" spans="1:2" x14ac:dyDescent="0.25">
      <c r="A107" s="2">
        <v>36434</v>
      </c>
      <c r="B107" s="1">
        <v>1803.664</v>
      </c>
    </row>
    <row r="108" spans="1:2" x14ac:dyDescent="0.25">
      <c r="A108" s="2">
        <v>36465</v>
      </c>
      <c r="B108" s="1">
        <v>1850.309</v>
      </c>
    </row>
    <row r="109" spans="1:2" x14ac:dyDescent="0.25">
      <c r="A109" s="2">
        <v>36495</v>
      </c>
      <c r="B109" s="1">
        <v>1836.4349999999999</v>
      </c>
    </row>
    <row r="110" spans="1:2" x14ac:dyDescent="0.25">
      <c r="A110" s="2">
        <v>36526</v>
      </c>
      <c r="B110" s="1">
        <v>1541.66</v>
      </c>
    </row>
    <row r="111" spans="1:2" x14ac:dyDescent="0.25">
      <c r="A111" s="2">
        <v>36557</v>
      </c>
      <c r="B111" s="1">
        <v>1616.9280000000001</v>
      </c>
    </row>
    <row r="112" spans="1:2" x14ac:dyDescent="0.25">
      <c r="A112" s="2">
        <v>36586</v>
      </c>
      <c r="B112" s="1">
        <v>1919.538</v>
      </c>
    </row>
    <row r="113" spans="1:2" x14ac:dyDescent="0.25">
      <c r="A113" s="2">
        <v>36617</v>
      </c>
      <c r="B113" s="1">
        <v>1971.4929999999999</v>
      </c>
    </row>
    <row r="114" spans="1:2" x14ac:dyDescent="0.25">
      <c r="A114" s="2">
        <v>36647</v>
      </c>
      <c r="B114" s="1">
        <v>1992.3009999999999</v>
      </c>
    </row>
    <row r="115" spans="1:2" x14ac:dyDescent="0.25">
      <c r="A115" s="2">
        <v>36678</v>
      </c>
      <c r="B115" s="1">
        <v>2009.7629999999999</v>
      </c>
    </row>
    <row r="116" spans="1:2" x14ac:dyDescent="0.25">
      <c r="A116" s="2">
        <v>36708</v>
      </c>
      <c r="B116" s="1">
        <v>2053.9960000000001</v>
      </c>
    </row>
    <row r="117" spans="1:2" x14ac:dyDescent="0.25">
      <c r="A117" s="2">
        <v>36739</v>
      </c>
      <c r="B117" s="1">
        <v>2097.471</v>
      </c>
    </row>
    <row r="118" spans="1:2" x14ac:dyDescent="0.25">
      <c r="A118" s="2">
        <v>36770</v>
      </c>
      <c r="B118" s="1">
        <v>1823.7059999999999</v>
      </c>
    </row>
    <row r="119" spans="1:2" x14ac:dyDescent="0.25">
      <c r="A119" s="2">
        <v>36800</v>
      </c>
      <c r="B119" s="1">
        <v>1976.9970000000001</v>
      </c>
    </row>
    <row r="120" spans="1:2" x14ac:dyDescent="0.25">
      <c r="A120" s="2">
        <v>36831</v>
      </c>
      <c r="B120" s="1">
        <v>1981.4079999999999</v>
      </c>
    </row>
    <row r="121" spans="1:2" x14ac:dyDescent="0.25">
      <c r="A121" s="2">
        <v>36861</v>
      </c>
      <c r="B121" s="1">
        <v>2000.153</v>
      </c>
    </row>
    <row r="122" spans="1:2" x14ac:dyDescent="0.25">
      <c r="A122" s="2">
        <v>36892</v>
      </c>
      <c r="B122" s="1">
        <v>1683.1479999999999</v>
      </c>
    </row>
    <row r="123" spans="1:2" x14ac:dyDescent="0.25">
      <c r="A123" s="2">
        <v>36923</v>
      </c>
      <c r="B123" s="1">
        <v>1663.404</v>
      </c>
    </row>
    <row r="124" spans="1:2" x14ac:dyDescent="0.25">
      <c r="A124" s="2">
        <v>36951</v>
      </c>
      <c r="B124" s="1">
        <v>2007.9280000000001</v>
      </c>
    </row>
    <row r="125" spans="1:2" x14ac:dyDescent="0.25">
      <c r="A125" s="2">
        <v>36982</v>
      </c>
      <c r="B125" s="1">
        <v>2023.7919999999999</v>
      </c>
    </row>
    <row r="126" spans="1:2" x14ac:dyDescent="0.25">
      <c r="A126" s="2">
        <v>37012</v>
      </c>
      <c r="B126" s="1">
        <v>2047.008</v>
      </c>
    </row>
    <row r="127" spans="1:2" x14ac:dyDescent="0.25">
      <c r="A127" s="2">
        <v>37043</v>
      </c>
      <c r="B127" s="1">
        <v>2072.913</v>
      </c>
    </row>
    <row r="128" spans="1:2" x14ac:dyDescent="0.25">
      <c r="A128" s="2">
        <v>37073</v>
      </c>
      <c r="B128" s="1">
        <v>2126.7170000000001</v>
      </c>
    </row>
    <row r="129" spans="1:2" x14ac:dyDescent="0.25">
      <c r="A129" s="2">
        <v>37104</v>
      </c>
      <c r="B129" s="1">
        <v>2202.6379999999999</v>
      </c>
    </row>
    <row r="130" spans="1:2" x14ac:dyDescent="0.25">
      <c r="A130" s="2">
        <v>37135</v>
      </c>
      <c r="B130" s="1">
        <v>1707.693</v>
      </c>
    </row>
    <row r="131" spans="1:2" x14ac:dyDescent="0.25">
      <c r="A131" s="2">
        <v>37165</v>
      </c>
      <c r="B131" s="1">
        <v>1950.7159999999999</v>
      </c>
    </row>
    <row r="132" spans="1:2" x14ac:dyDescent="0.25">
      <c r="A132" s="2">
        <v>37196</v>
      </c>
      <c r="B132" s="1">
        <v>1973.614</v>
      </c>
    </row>
    <row r="133" spans="1:2" x14ac:dyDescent="0.25">
      <c r="A133" s="2">
        <v>37226</v>
      </c>
      <c r="B133" s="1">
        <v>1984.729</v>
      </c>
    </row>
    <row r="134" spans="1:2" x14ac:dyDescent="0.25">
      <c r="A134" s="2">
        <v>37257</v>
      </c>
      <c r="B134" s="1">
        <v>1759.6289999999999</v>
      </c>
    </row>
    <row r="135" spans="1:2" x14ac:dyDescent="0.25">
      <c r="A135" s="2">
        <v>37288</v>
      </c>
      <c r="B135" s="1">
        <v>1770.595</v>
      </c>
    </row>
    <row r="136" spans="1:2" x14ac:dyDescent="0.25">
      <c r="A136" s="2">
        <v>37316</v>
      </c>
      <c r="B136" s="1">
        <v>2019.912</v>
      </c>
    </row>
    <row r="137" spans="1:2" x14ac:dyDescent="0.25">
      <c r="A137" s="2">
        <v>37347</v>
      </c>
      <c r="B137" s="1">
        <v>2048.3980000000001</v>
      </c>
    </row>
    <row r="138" spans="1:2" x14ac:dyDescent="0.25">
      <c r="A138" s="2">
        <v>37377</v>
      </c>
      <c r="B138" s="1">
        <v>2068.7629999999999</v>
      </c>
    </row>
    <row r="139" spans="1:2" x14ac:dyDescent="0.25">
      <c r="A139" s="2">
        <v>37408</v>
      </c>
      <c r="B139" s="1">
        <v>1994.2670000000001</v>
      </c>
    </row>
    <row r="140" spans="1:2" x14ac:dyDescent="0.25">
      <c r="A140" s="2">
        <v>37438</v>
      </c>
      <c r="B140" s="1">
        <v>2075.2579999999998</v>
      </c>
    </row>
    <row r="141" spans="1:2" x14ac:dyDescent="0.25">
      <c r="A141" s="2">
        <v>37469</v>
      </c>
      <c r="B141" s="1">
        <v>2026.56</v>
      </c>
    </row>
    <row r="142" spans="1:2" x14ac:dyDescent="0.25">
      <c r="A142" s="2">
        <v>37500</v>
      </c>
      <c r="B142" s="1">
        <v>1734.155</v>
      </c>
    </row>
    <row r="143" spans="1:2" x14ac:dyDescent="0.25">
      <c r="A143" s="2">
        <v>37530</v>
      </c>
      <c r="B143" s="1">
        <v>1916.771</v>
      </c>
    </row>
    <row r="144" spans="1:2" x14ac:dyDescent="0.25">
      <c r="A144" s="2">
        <v>37561</v>
      </c>
      <c r="B144" s="1">
        <v>1858.345</v>
      </c>
    </row>
    <row r="145" spans="1:2" x14ac:dyDescent="0.25">
      <c r="A145" s="2">
        <v>37591</v>
      </c>
      <c r="B145" s="1">
        <v>1996.3520000000001</v>
      </c>
    </row>
    <row r="146" spans="1:2" x14ac:dyDescent="0.25">
      <c r="A146" s="2">
        <v>37622</v>
      </c>
      <c r="B146" s="1">
        <v>1778.0329999999999</v>
      </c>
    </row>
    <row r="147" spans="1:2" x14ac:dyDescent="0.25">
      <c r="A147" s="2">
        <v>37653</v>
      </c>
      <c r="B147" s="1">
        <v>1749.489</v>
      </c>
    </row>
    <row r="148" spans="1:2" x14ac:dyDescent="0.25">
      <c r="A148" s="2">
        <v>37681</v>
      </c>
      <c r="B148" s="1">
        <v>2066.4659999999999</v>
      </c>
    </row>
    <row r="149" spans="1:2" x14ac:dyDescent="0.25">
      <c r="A149" s="2">
        <v>37712</v>
      </c>
      <c r="B149" s="1">
        <v>2098.8989999999999</v>
      </c>
    </row>
    <row r="150" spans="1:2" x14ac:dyDescent="0.25">
      <c r="A150" s="2">
        <v>37742</v>
      </c>
      <c r="B150" s="1">
        <v>2104.9110000000001</v>
      </c>
    </row>
    <row r="151" spans="1:2" x14ac:dyDescent="0.25">
      <c r="A151" s="2">
        <v>37773</v>
      </c>
      <c r="B151" s="1">
        <v>2129.6709999999998</v>
      </c>
    </row>
    <row r="152" spans="1:2" x14ac:dyDescent="0.25">
      <c r="A152" s="2">
        <v>37803</v>
      </c>
      <c r="B152" s="1">
        <v>2223.3490000000002</v>
      </c>
    </row>
    <row r="153" spans="1:2" x14ac:dyDescent="0.25">
      <c r="A153" s="2">
        <v>37834</v>
      </c>
      <c r="B153" s="1">
        <v>2174.36</v>
      </c>
    </row>
    <row r="154" spans="1:2" x14ac:dyDescent="0.25">
      <c r="A154" s="2">
        <v>37865</v>
      </c>
      <c r="B154" s="1">
        <v>1931.4059999999999</v>
      </c>
    </row>
    <row r="155" spans="1:2" x14ac:dyDescent="0.25">
      <c r="A155" s="2">
        <v>37895</v>
      </c>
      <c r="B155" s="1">
        <v>2121.4699999999998</v>
      </c>
    </row>
    <row r="156" spans="1:2" x14ac:dyDescent="0.25">
      <c r="A156" s="2">
        <v>37926</v>
      </c>
      <c r="B156" s="1">
        <v>2076.0540000000001</v>
      </c>
    </row>
    <row r="157" spans="1:2" x14ac:dyDescent="0.25">
      <c r="A157" s="2">
        <v>37956</v>
      </c>
      <c r="B157" s="1">
        <v>2140.6770000000001</v>
      </c>
    </row>
    <row r="158" spans="1:2" x14ac:dyDescent="0.25">
      <c r="A158" s="2">
        <v>37987</v>
      </c>
      <c r="B158" s="1">
        <v>1831.508</v>
      </c>
    </row>
    <row r="159" spans="1:2" x14ac:dyDescent="0.25">
      <c r="A159" s="2">
        <v>38018</v>
      </c>
      <c r="B159" s="1">
        <v>1838.0060000000001</v>
      </c>
    </row>
    <row r="160" spans="1:2" x14ac:dyDescent="0.25">
      <c r="A160" s="2">
        <v>38047</v>
      </c>
      <c r="B160" s="1">
        <v>2132.4459999999999</v>
      </c>
    </row>
  </sheetData>
  <mergeCells count="1">
    <mergeCell ref="C1:F1"/>
  </mergeCells>
  <phoneticPr fontId="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514F0-E76D-4368-AD90-D7C468531D52}">
  <dimension ref="A1:F8"/>
  <sheetViews>
    <sheetView topLeftCell="A3" workbookViewId="0">
      <selection activeCell="A3" sqref="A3:A6"/>
    </sheetView>
  </sheetViews>
  <sheetFormatPr defaultRowHeight="13.2" x14ac:dyDescent="0.25"/>
  <sheetData>
    <row r="1" spans="1:6" x14ac:dyDescent="0.25">
      <c r="A1" s="18" t="s">
        <v>38</v>
      </c>
      <c r="B1" s="17"/>
      <c r="C1" s="17"/>
      <c r="D1" s="17"/>
      <c r="E1" s="17"/>
      <c r="F1" t="s">
        <v>39</v>
      </c>
    </row>
    <row r="2" spans="1:6" x14ac:dyDescent="0.25">
      <c r="A2" s="12" t="s">
        <v>1</v>
      </c>
      <c r="B2" s="13" t="s">
        <v>0</v>
      </c>
      <c r="C2" s="13" t="s">
        <v>23</v>
      </c>
      <c r="D2" s="11" t="s">
        <v>22</v>
      </c>
      <c r="E2" t="s">
        <v>20</v>
      </c>
      <c r="F2" s="11" t="s">
        <v>21</v>
      </c>
    </row>
    <row r="3" spans="1:6" x14ac:dyDescent="0.25">
      <c r="A3" s="16">
        <v>35643</v>
      </c>
      <c r="B3" s="1">
        <v>2008.0550000000001</v>
      </c>
      <c r="C3" s="11">
        <v>12</v>
      </c>
      <c r="D3" t="s">
        <v>35</v>
      </c>
      <c r="E3">
        <f>LN(B3)</f>
        <v>7.6049218708747555</v>
      </c>
      <c r="F3" s="11" t="s">
        <v>23</v>
      </c>
    </row>
    <row r="4" spans="1:6" x14ac:dyDescent="0.25">
      <c r="A4" s="16"/>
      <c r="B4" s="15">
        <v>2007</v>
      </c>
      <c r="C4" s="11">
        <v>13</v>
      </c>
      <c r="D4" t="s">
        <v>24</v>
      </c>
      <c r="E4">
        <f>LN(B4)</f>
        <v>7.604396348796338</v>
      </c>
      <c r="F4" s="11" t="s">
        <v>23</v>
      </c>
    </row>
    <row r="5" spans="1:6" x14ac:dyDescent="0.25">
      <c r="A5" s="16"/>
      <c r="B5" s="15">
        <v>2056</v>
      </c>
      <c r="C5" s="11">
        <v>14</v>
      </c>
      <c r="D5" t="s">
        <v>25</v>
      </c>
      <c r="E5">
        <f>LN(B5)</f>
        <v>7.6285176265750554</v>
      </c>
      <c r="F5" s="11" t="s">
        <v>23</v>
      </c>
    </row>
    <row r="6" spans="1:6" x14ac:dyDescent="0.25">
      <c r="A6" s="16"/>
      <c r="B6" s="15">
        <v>2014</v>
      </c>
      <c r="C6" s="11">
        <v>15</v>
      </c>
      <c r="D6" t="s">
        <v>26</v>
      </c>
      <c r="E6">
        <f>LN(B6)</f>
        <v>7.6078780732785072</v>
      </c>
      <c r="F6" s="11" t="s">
        <v>23</v>
      </c>
    </row>
    <row r="7" spans="1:6" x14ac:dyDescent="0.25">
      <c r="A7" s="2">
        <v>35765</v>
      </c>
      <c r="B7" s="15">
        <v>2019</v>
      </c>
      <c r="C7" s="11">
        <v>16</v>
      </c>
      <c r="D7" t="s">
        <v>27</v>
      </c>
      <c r="E7">
        <f>LN(B7)</f>
        <v>7.6103576183128379</v>
      </c>
      <c r="F7" s="11" t="s">
        <v>23</v>
      </c>
    </row>
    <row r="8" spans="1:6" x14ac:dyDescent="0.25">
      <c r="A8" s="2"/>
      <c r="B8" s="1"/>
      <c r="C8" s="11"/>
      <c r="F8" s="11"/>
    </row>
  </sheetData>
  <mergeCells count="2">
    <mergeCell ref="A3:A6"/>
    <mergeCell ref="A1:E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20</vt:i4>
      </vt:variant>
    </vt:vector>
  </HeadingPairs>
  <TitlesOfParts>
    <vt:vector size="24" baseType="lpstr">
      <vt:lpstr>RegData</vt:lpstr>
      <vt:lpstr>StatProForecast1</vt:lpstr>
      <vt:lpstr>Data</vt:lpstr>
      <vt:lpstr>test</vt:lpstr>
      <vt:lpstr>StatProForecast1!_Obs1</vt:lpstr>
      <vt:lpstr>Data!Data</vt:lpstr>
      <vt:lpstr>StatProForecast1!Date</vt:lpstr>
      <vt:lpstr>StatProForecast1!DateAll</vt:lpstr>
      <vt:lpstr>StatProForecast1!DeseasError</vt:lpstr>
      <vt:lpstr>StatProForecast1!DeseasError1</vt:lpstr>
      <vt:lpstr>StatProForecast1!DeseasFCast</vt:lpstr>
      <vt:lpstr>StatProForecast1!DeseasObs</vt:lpstr>
      <vt:lpstr>StatProForecast1!DeseasObs1</vt:lpstr>
      <vt:lpstr>StatProForecast1!DeseasObsAll</vt:lpstr>
      <vt:lpstr>StatProForecast1!Error</vt:lpstr>
      <vt:lpstr>StatProForecast1!Error1</vt:lpstr>
      <vt:lpstr>StatProForecast1!FCast</vt:lpstr>
      <vt:lpstr>Data!Month</vt:lpstr>
      <vt:lpstr>Data!NumPassengers</vt:lpstr>
      <vt:lpstr>StatProForecast1!Obs</vt:lpstr>
      <vt:lpstr>StatProForecast1!ObsAll</vt:lpstr>
      <vt:lpstr>StatProForecast1!RMSE</vt:lpstr>
      <vt:lpstr>StatProForecast1!SmConsts</vt:lpstr>
      <vt:lpstr>StatProForecast1!SummEstPeriod</vt:lpstr>
    </vt:vector>
  </TitlesOfParts>
  <Company>University of Maryland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Shmueli</dc:creator>
  <cp:lastModifiedBy>weishi bu</cp:lastModifiedBy>
  <cp:lastPrinted>2008-11-03T15:12:12Z</cp:lastPrinted>
  <dcterms:created xsi:type="dcterms:W3CDTF">2007-02-23T02:53:22Z</dcterms:created>
  <dcterms:modified xsi:type="dcterms:W3CDTF">2024-04-14T13:01:43Z</dcterms:modified>
</cp:coreProperties>
</file>